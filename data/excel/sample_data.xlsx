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Текущие пространства" sheetId="1" r:id="rId1"/>
    <sheet name="RAM" sheetId="2" r:id="rId2"/>
    <sheet name="CPU" sheetId="6" r:id="rId3"/>
    <sheet name="DEV New" sheetId="5" state="hidden" r:id="rId4"/>
  </sheets>
  <definedNames>
    <definedName name="_xlnm._FilterDatabase" localSheetId="3" hidden="1">'DEV New'!$A$1:$D$1</definedName>
    <definedName name="_xlnm._FilterDatabase" localSheetId="1" hidden="1">RAM!$C$1:$J$1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6" l="1"/>
  <c r="P17" i="6"/>
  <c r="Q17" i="6"/>
  <c r="P20" i="6"/>
  <c r="Q20" i="6"/>
  <c r="Q23" i="6"/>
  <c r="O24" i="6"/>
  <c r="P24" i="6"/>
  <c r="O25" i="6"/>
  <c r="P25" i="6"/>
  <c r="Q29" i="6"/>
  <c r="O31" i="6"/>
  <c r="P31" i="6"/>
  <c r="Q31" i="6"/>
  <c r="N17" i="6"/>
  <c r="N18" i="6"/>
  <c r="O18" i="6" s="1"/>
  <c r="N19" i="6"/>
  <c r="Q19" i="6" s="1"/>
  <c r="N20" i="6"/>
  <c r="O20" i="6" s="1"/>
  <c r="N21" i="6"/>
  <c r="O21" i="6" s="1"/>
  <c r="N22" i="6"/>
  <c r="O22" i="6" s="1"/>
  <c r="N23" i="6"/>
  <c r="O23" i="6" s="1"/>
  <c r="N24" i="6"/>
  <c r="Q24" i="6" s="1"/>
  <c r="N25" i="6"/>
  <c r="Q25" i="6" s="1"/>
  <c r="N26" i="6"/>
  <c r="O26" i="6" s="1"/>
  <c r="N27" i="6"/>
  <c r="O27" i="6" s="1"/>
  <c r="N28" i="6"/>
  <c r="O28" i="6" s="1"/>
  <c r="N29" i="6"/>
  <c r="O29" i="6" s="1"/>
  <c r="N30" i="6"/>
  <c r="O30" i="6" s="1"/>
  <c r="N31" i="6"/>
  <c r="N16" i="6"/>
  <c r="O16" i="6" s="1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16" i="6"/>
  <c r="O3" i="6"/>
  <c r="P3" i="6"/>
  <c r="Q3" i="6"/>
  <c r="O4" i="6"/>
  <c r="P4" i="6"/>
  <c r="Q4" i="6"/>
  <c r="O9" i="6"/>
  <c r="P9" i="6"/>
  <c r="Q9" i="6"/>
  <c r="P10" i="6"/>
  <c r="Q10" i="6"/>
  <c r="Q2" i="6"/>
  <c r="P2" i="6"/>
  <c r="O2" i="6"/>
  <c r="N3" i="6"/>
  <c r="N4" i="6"/>
  <c r="N5" i="6"/>
  <c r="O5" i="6" s="1"/>
  <c r="N6" i="6"/>
  <c r="P6" i="6" s="1"/>
  <c r="N7" i="6"/>
  <c r="P7" i="6" s="1"/>
  <c r="N8" i="6"/>
  <c r="O8" i="6" s="1"/>
  <c r="N9" i="6"/>
  <c r="N10" i="6"/>
  <c r="O10" i="6" s="1"/>
  <c r="N11" i="6"/>
  <c r="O11" i="6" s="1"/>
  <c r="N12" i="6"/>
  <c r="O12" i="6" s="1"/>
  <c r="N2" i="6"/>
  <c r="I3" i="6"/>
  <c r="I4" i="6"/>
  <c r="I5" i="6"/>
  <c r="I6" i="6"/>
  <c r="I7" i="6"/>
  <c r="I8" i="6"/>
  <c r="I9" i="6"/>
  <c r="I10" i="6"/>
  <c r="I11" i="6"/>
  <c r="I12" i="6"/>
  <c r="I2" i="6"/>
  <c r="K3" i="6"/>
  <c r="J3" i="6"/>
  <c r="K4" i="6"/>
  <c r="J4" i="6"/>
  <c r="K5" i="6"/>
  <c r="J5" i="6"/>
  <c r="K6" i="6"/>
  <c r="J6" i="6"/>
  <c r="K7" i="6"/>
  <c r="J7" i="6"/>
  <c r="K8" i="6"/>
  <c r="J8" i="6"/>
  <c r="K9" i="6"/>
  <c r="J9" i="6"/>
  <c r="K10" i="6"/>
  <c r="J10" i="6"/>
  <c r="K11" i="6"/>
  <c r="J11" i="6"/>
  <c r="K12" i="6"/>
  <c r="J12" i="6"/>
  <c r="J2" i="6"/>
  <c r="K2" i="6"/>
  <c r="Q21" i="6" l="1"/>
  <c r="P21" i="6"/>
  <c r="P16" i="6"/>
  <c r="Q16" i="6"/>
  <c r="Q18" i="6"/>
  <c r="P18" i="6"/>
  <c r="P19" i="6"/>
  <c r="O19" i="6"/>
  <c r="P26" i="6"/>
  <c r="Q26" i="6"/>
  <c r="P30" i="6"/>
  <c r="Q30" i="6"/>
  <c r="P29" i="6"/>
  <c r="Q28" i="6"/>
  <c r="P28" i="6"/>
  <c r="P27" i="6"/>
  <c r="Q27" i="6"/>
  <c r="P23" i="6"/>
  <c r="Q22" i="6"/>
  <c r="P22" i="6"/>
  <c r="Q12" i="6"/>
  <c r="P12" i="6"/>
  <c r="P11" i="6"/>
  <c r="Q11" i="6"/>
  <c r="Q8" i="6"/>
  <c r="P8" i="6"/>
  <c r="O7" i="6"/>
  <c r="Q7" i="6"/>
  <c r="O6" i="6"/>
  <c r="Q6" i="6"/>
  <c r="Q5" i="6"/>
  <c r="P5" i="6"/>
  <c r="D6" i="5"/>
  <c r="D3" i="5"/>
  <c r="D4" i="5"/>
  <c r="D2" i="5"/>
  <c r="K32" i="2"/>
  <c r="J32" i="2"/>
  <c r="I32" i="2"/>
  <c r="H32" i="2"/>
  <c r="G32" i="2"/>
  <c r="F32" i="2"/>
  <c r="K13" i="2"/>
  <c r="J13" i="2"/>
  <c r="I13" i="2"/>
  <c r="H13" i="2"/>
  <c r="G13" i="2"/>
  <c r="F13" i="2"/>
  <c r="M32" i="2"/>
  <c r="E32" i="2"/>
  <c r="M13" i="2"/>
  <c r="E13" i="2"/>
  <c r="N16" i="2"/>
  <c r="O16" i="2" s="1"/>
  <c r="P16" i="2"/>
  <c r="Q16" i="2"/>
  <c r="N17" i="2"/>
  <c r="O17" i="2"/>
  <c r="P17" i="2"/>
  <c r="Q17" i="2"/>
  <c r="N18" i="2"/>
  <c r="P18" i="2" s="1"/>
  <c r="O18" i="2"/>
  <c r="N19" i="2"/>
  <c r="P19" i="2" s="1"/>
  <c r="O19" i="2"/>
  <c r="N20" i="2"/>
  <c r="O20" i="2"/>
  <c r="P20" i="2"/>
  <c r="Q20" i="2"/>
  <c r="N21" i="2"/>
  <c r="P21" i="2" s="1"/>
  <c r="O21" i="2"/>
  <c r="N22" i="2"/>
  <c r="O22" i="2"/>
  <c r="P22" i="2"/>
  <c r="Q22" i="2"/>
  <c r="N23" i="2"/>
  <c r="O23" i="2" s="1"/>
  <c r="Q23" i="2"/>
  <c r="N24" i="2"/>
  <c r="P24" i="2" s="1"/>
  <c r="O24" i="2"/>
  <c r="N25" i="2"/>
  <c r="O25" i="2"/>
  <c r="P25" i="2"/>
  <c r="Q25" i="2"/>
  <c r="N26" i="2"/>
  <c r="P26" i="2" s="1"/>
  <c r="O26" i="2"/>
  <c r="N27" i="2"/>
  <c r="P27" i="2" s="1"/>
  <c r="N28" i="2"/>
  <c r="O28" i="2"/>
  <c r="P28" i="2"/>
  <c r="Q28" i="2"/>
  <c r="N29" i="2"/>
  <c r="O29" i="2"/>
  <c r="P29" i="2"/>
  <c r="Q29" i="2"/>
  <c r="N30" i="2"/>
  <c r="P30" i="2" s="1"/>
  <c r="N31" i="2"/>
  <c r="O31" i="2" s="1"/>
  <c r="P3" i="2"/>
  <c r="Q3" i="2"/>
  <c r="O4" i="2"/>
  <c r="P4" i="2"/>
  <c r="Q4" i="2"/>
  <c r="Q2" i="2"/>
  <c r="P2" i="2"/>
  <c r="O2" i="2"/>
  <c r="K3" i="2"/>
  <c r="K4" i="2"/>
  <c r="K5" i="2"/>
  <c r="K6" i="2"/>
  <c r="K7" i="2"/>
  <c r="K8" i="2"/>
  <c r="K9" i="2"/>
  <c r="K10" i="2"/>
  <c r="K11" i="2"/>
  <c r="K12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" i="2"/>
  <c r="J4" i="2"/>
  <c r="J5" i="2"/>
  <c r="J6" i="2"/>
  <c r="J7" i="2"/>
  <c r="J8" i="2"/>
  <c r="J9" i="2"/>
  <c r="J10" i="2"/>
  <c r="J11" i="2"/>
  <c r="J12" i="2"/>
  <c r="J2" i="2"/>
  <c r="N3" i="2"/>
  <c r="O3" i="2" s="1"/>
  <c r="N4" i="2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2" i="2"/>
  <c r="I3" i="2"/>
  <c r="I4" i="2"/>
  <c r="I5" i="2"/>
  <c r="I6" i="2"/>
  <c r="I7" i="2"/>
  <c r="I8" i="2"/>
  <c r="I9" i="2"/>
  <c r="I10" i="2"/>
  <c r="I11" i="2"/>
  <c r="I12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D20" i="1"/>
  <c r="D19" i="1"/>
  <c r="D14" i="1"/>
  <c r="D13" i="1"/>
  <c r="D12" i="1"/>
  <c r="D6" i="1"/>
  <c r="D5" i="1"/>
  <c r="D4" i="1"/>
  <c r="M34" i="2" l="1"/>
  <c r="Q31" i="2"/>
  <c r="P31" i="2"/>
  <c r="O27" i="2"/>
  <c r="N32" i="2"/>
  <c r="Q11" i="2"/>
  <c r="P11" i="2"/>
  <c r="N13" i="2"/>
  <c r="Q9" i="2"/>
  <c r="P9" i="2"/>
  <c r="Q6" i="2"/>
  <c r="P6" i="2"/>
  <c r="Q12" i="2"/>
  <c r="Q5" i="2"/>
  <c r="P23" i="2"/>
  <c r="P12" i="2"/>
  <c r="P5" i="2"/>
  <c r="O30" i="2"/>
  <c r="Q26" i="2"/>
  <c r="Q19" i="2"/>
  <c r="Q8" i="2"/>
  <c r="P8" i="2"/>
  <c r="Q7" i="2"/>
  <c r="P7" i="2"/>
  <c r="Q10" i="2"/>
  <c r="P10" i="2"/>
  <c r="Q30" i="2"/>
  <c r="Q27" i="2"/>
  <c r="Q24" i="2"/>
  <c r="Q21" i="2"/>
  <c r="Q18" i="2"/>
  <c r="O13" i="2" l="1"/>
  <c r="P13" i="2"/>
  <c r="Q13" i="2"/>
  <c r="Q32" i="2"/>
  <c r="O32" i="2"/>
  <c r="P32" i="2"/>
</calcChain>
</file>

<file path=xl/sharedStrings.xml><?xml version="1.0" encoding="utf-8"?>
<sst xmlns="http://schemas.openxmlformats.org/spreadsheetml/2006/main" count="276" uniqueCount="114">
  <si>
    <t>PREPROD</t>
  </si>
  <si>
    <t>PROD</t>
  </si>
  <si>
    <t>Storage, Gb</t>
  </si>
  <si>
    <t>RAM, Gb</t>
  </si>
  <si>
    <t>CPU, ядра</t>
  </si>
  <si>
    <t>Используется</t>
  </si>
  <si>
    <t>Выделено</t>
  </si>
  <si>
    <t>Не используется</t>
  </si>
  <si>
    <t>EN 213</t>
  </si>
  <si>
    <t>Сейчас</t>
  </si>
  <si>
    <t>Нужно</t>
  </si>
  <si>
    <t>Добавить</t>
  </si>
  <si>
    <t>instance_name</t>
  </si>
  <si>
    <t>virtualmachine</t>
  </si>
  <si>
    <t>total</t>
  </si>
  <si>
    <t>used avg</t>
  </si>
  <si>
    <t>used with peaks</t>
  </si>
  <si>
    <t>used quantile</t>
  </si>
  <si>
    <t>% used quantile</t>
  </si>
  <si>
    <t>% used with peaks</t>
  </si>
  <si>
    <t>bdcd-openbdpreprd-k8s-7krsis0-2gz7n</t>
  </si>
  <si>
    <t>bdcd-openbdpreprd-k8s-7krs-72wt4-ea0wy</t>
  </si>
  <si>
    <t>bdcd-openbdpreprd-k8s-7krsis0-g9g97</t>
  </si>
  <si>
    <t>bdcd-openbdpreprd-k8s-7krs-q629p-vltzr</t>
  </si>
  <si>
    <t>bdcd-openbdpreprd-k8s-7krsis0-kfz2h</t>
  </si>
  <si>
    <t>bdcd-openbdpreprd-k8s-7krs-gcqm2-jwwmf</t>
  </si>
  <si>
    <t>openbd-preprd-01-pg-00</t>
  </si>
  <si>
    <t>openbd-preprd-01-pg-00-pndos</t>
  </si>
  <si>
    <t>openbd-preprd-02-pg-00</t>
  </si>
  <si>
    <t>openbd-preprd-02-pg-00-55pff</t>
  </si>
  <si>
    <t>openbd-preprd-03-pg-00</t>
  </si>
  <si>
    <t>openbd-preprd-03-pg-00-vjx7x</t>
  </si>
  <si>
    <t>openbd-preprd-04-pg-00</t>
  </si>
  <si>
    <t>openbd-preprd-04-pg-00-rnc3p</t>
  </si>
  <si>
    <t>openbd-preprd-lb-1</t>
  </si>
  <si>
    <t>openbd-preprd-lb-1-7rfvf</t>
  </si>
  <si>
    <t>openbdpreprd-k8s-nodes-9jtzt-dw6m2</t>
  </si>
  <si>
    <t>openbdpreprd-k8s-nodes-qq2bf-jj54h</t>
  </si>
  <si>
    <t>openbdpreprd-k8s-nodes-9jtzt-gr2hs</t>
  </si>
  <si>
    <t>openbdpreprd-k8s-nodes-lfgc7-476nr</t>
  </si>
  <si>
    <t>openbdpreprd-k8s-nodes-9jtzt-x64lz</t>
  </si>
  <si>
    <t>openbdpreprd-k8s-nodes-krhj5-logx1</t>
  </si>
  <si>
    <t>k8s</t>
  </si>
  <si>
    <t>lb</t>
  </si>
  <si>
    <t>pg</t>
  </si>
  <si>
    <t>type</t>
  </si>
  <si>
    <t>space</t>
  </si>
  <si>
    <t>bdcd-openbdprd-k8s-28o35mu-92jcw</t>
  </si>
  <si>
    <t>bdcd-openbdprd-k8s-28o35mu-sch5q-jsvwg</t>
  </si>
  <si>
    <t>bdcd-openbdprd-k8s-28o35mu-9nqmp</t>
  </si>
  <si>
    <t>bdcd-openbdprd-k8s-28o35mu-v6mnw-tcy5u</t>
  </si>
  <si>
    <t>bdcd-openbdprd-k8s-28o35mu-ww8zb</t>
  </si>
  <si>
    <t>bdcd-openbdprd-k8s-28o35mu-rf46g-z1tb4</t>
  </si>
  <si>
    <t>openbd-en-odin-1</t>
  </si>
  <si>
    <t>openbd-en-odin-1-fs80t</t>
  </si>
  <si>
    <t>openbd-en-odin-2</t>
  </si>
  <si>
    <t>openbd-en-odin-2-uxsia</t>
  </si>
  <si>
    <t>openbd-prd-01-pg-00</t>
  </si>
  <si>
    <t>openbd-prd-01-pg-00-zadg1</t>
  </si>
  <si>
    <t>openbd-prd-02-pg-00</t>
  </si>
  <si>
    <t>openbd-prd-02-pg-00-llwlm</t>
  </si>
  <si>
    <t>openbd-prd-03-pg-00</t>
  </si>
  <si>
    <t>openbd-prd-03-pg-00-55251</t>
  </si>
  <si>
    <t>openbd-prd-04-pg-00</t>
  </si>
  <si>
    <t>openbd-prd-04-pg-00-uhb2p</t>
  </si>
  <si>
    <t>openbd-prd-lb-1</t>
  </si>
  <si>
    <t>openbd-prd-lb-1-87i0b</t>
  </si>
  <si>
    <t>openbd-prd-lb-2</t>
  </si>
  <si>
    <t>openbd-prd-lb-2-ebgsp</t>
  </si>
  <si>
    <t>openbdprd-k8s-nodes-twcmv-6zmzt</t>
  </si>
  <si>
    <t>openbdprd-k8s-nodes-5lgqc-erjwn</t>
  </si>
  <si>
    <t>openbdprd-k8s-nodes-twcmv-7hzsg</t>
  </si>
  <si>
    <t>openbdprd-k8s-nodes-b4ks7-as37w</t>
  </si>
  <si>
    <t>openbdprd-k8s-nodes-twcmv-7sxql</t>
  </si>
  <si>
    <t>openbdprd-k8s-nodes-hg2fl-xeatg</t>
  </si>
  <si>
    <t>openbdprd-k8s-nodes-twcmv-8dgkn</t>
  </si>
  <si>
    <t>openbdprd-k8s-nodes-lnmj4-zhhgp</t>
  </si>
  <si>
    <t>openbdprd-k8s-nodes-twcmv-gbhq2</t>
  </si>
  <si>
    <t>openbdprd-k8s-nodes-gv976-4o02n</t>
  </si>
  <si>
    <t>en</t>
  </si>
  <si>
    <t>% used avg</t>
  </si>
  <si>
    <t>Забираем</t>
  </si>
  <si>
    <t>Остаётся</t>
  </si>
  <si>
    <t>pg core</t>
  </si>
  <si>
    <t>Кол-во</t>
  </si>
  <si>
    <t>RAM на 1 шт</t>
  </si>
  <si>
    <t>RAM всего</t>
  </si>
  <si>
    <t>"bdcd-openbdpreprd-k8s-7krsis0-2gz7n"</t>
  </si>
  <si>
    <t>"bdcd-openbdpreprd-k8s-7krsis0-g9g97"</t>
  </si>
  <si>
    <t>"bdcd-openbdpreprd-k8s-7krsis0-kfz2h"</t>
  </si>
  <si>
    <t>"openbd-preprd-01-pg-00"</t>
  </si>
  <si>
    <t>"openbd-preprd-02-pg-00"</t>
  </si>
  <si>
    <t>"openbd-preprd-03-pg-00"</t>
  </si>
  <si>
    <t>"openbd-preprd-04-pg-00"</t>
  </si>
  <si>
    <t>"openbd-preprd-lb-1"</t>
  </si>
  <si>
    <t>"openbdpreprd-k8s-nodes-9jtzt-dw6m2"</t>
  </si>
  <si>
    <t>"openbdpreprd-k8s-nodes-9jtzt-gr2hs"</t>
  </si>
  <si>
    <t>"openbdpreprd-k8s-nodes-9jtzt-x64lz"</t>
  </si>
  <si>
    <t>"bdcd-openbdprd-k8s-28o35mu-92jcw"</t>
  </si>
  <si>
    <t>"bdcd-openbdprd-k8s-28o35mu-9nqmp"</t>
  </si>
  <si>
    <t>"bdcd-openbdprd-k8s-28o35mu-ww8zb"</t>
  </si>
  <si>
    <t>"openbd-en-odin-1"</t>
  </si>
  <si>
    <t>"openbd-en-odin-2"</t>
  </si>
  <si>
    <t>"openbd-prd-01-pg-00"</t>
  </si>
  <si>
    <t>"openbd-prd-02-pg-00"</t>
  </si>
  <si>
    <t>"openbd-prd-03-pg-00"</t>
  </si>
  <si>
    <t>"openbd-prd-04-pg-00"</t>
  </si>
  <si>
    <t>"openbd-prd-lb-1"</t>
  </si>
  <si>
    <t>"openbd-prd-lb-2"</t>
  </si>
  <si>
    <t>"openbdprd-k8s-nodes-twcmv-6zmzt"</t>
  </si>
  <si>
    <t>"openbdprd-k8s-nodes-twcmv-7hzsg"</t>
  </si>
  <si>
    <t>"openbdprd-k8s-nodes-twcmv-7sxql"</t>
  </si>
  <si>
    <t>"openbdprd-k8s-nodes-twcmv-8dgkn"</t>
  </si>
  <si>
    <t>"openbdprd-k8s-nodes-twcmv-gbhq2"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</si>
</sst>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0" fillId="0" borderId="0" xfId="0" applyNumberFormat="1"/>
    <xf numFmtId="9" fontId="0" fillId="0" borderId="0" xfId="1" applyFont="1"/>
    <xf numFmtId="0" fontId="3" fillId="0" borderId="0" xfId="0" applyFont="1"/>
    <xf numFmtId="1" fontId="0" fillId="0" borderId="0" xfId="1" applyNumberFormat="1" applyFont="1"/>
    <xf numFmtId="9" fontId="0" fillId="0" borderId="0" xfId="0" applyNumberFormat="1"/>
    <xf numFmtId="0" fontId="4" fillId="0" borderId="0" xfId="0" applyFont="1"/>
    <xf numFmtId="1" fontId="3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"/>
  <sheetViews>
    <sheetView tabSelected="1" workbookViewId="0">
      <selection activeCell="C31" sqref="C31"/>
    </sheetView>
  </sheetViews>
  <sheetFormatPr defaultRowHeight="14.4" x14ac:dyDescent="0.3"/>
  <cols>
    <col min="1" max="1" width="16.77734375" customWidth="1"/>
    <col min="2" max="2" width="12.21875" customWidth="1"/>
    <col min="3" max="3" width="15.33203125" bestFit="1" customWidth="1"/>
    <col min="4" max="4" width="15.21875" bestFit="1" customWidth="1"/>
  </cols>
  <sheetData>
    <row r="2" spans="1:4" x14ac:dyDescent="0.3">
      <c r="B2" t="s">
        <v>0</v>
      </c>
    </row>
    <row r="3" spans="1:4" x14ac:dyDescent="0.3">
      <c r="B3" t="s">
        <v>5</v>
      </c>
      <c r="C3" t="s">
        <v>6</v>
      </c>
      <c r="D3" t="s">
        <v>7</v>
      </c>
    </row>
    <row r="4" spans="1:4" x14ac:dyDescent="0.3">
      <c r="A4" t="s">
        <v>4</v>
      </c>
      <c r="B4">
        <v>108</v>
      </c>
      <c r="C4">
        <v>120</v>
      </c>
      <c r="D4">
        <f>C4-B4</f>
        <v>12</v>
      </c>
    </row>
    <row r="5" spans="1:4" x14ac:dyDescent="0.3">
      <c r="A5" t="s">
        <v>3</v>
      </c>
      <c r="B5">
        <v>208</v>
      </c>
      <c r="C5">
        <v>208</v>
      </c>
      <c r="D5">
        <f>C5-B5</f>
        <v>0</v>
      </c>
    </row>
    <row r="6" spans="1:4" x14ac:dyDescent="0.3">
      <c r="A6" t="s">
        <v>2</v>
      </c>
      <c r="B6">
        <v>4390</v>
      </c>
      <c r="C6">
        <v>4812</v>
      </c>
      <c r="D6">
        <f>C6-B6</f>
        <v>422</v>
      </c>
    </row>
    <row r="10" spans="1:4" x14ac:dyDescent="0.3">
      <c r="B10" t="s">
        <v>1</v>
      </c>
    </row>
    <row r="11" spans="1:4" x14ac:dyDescent="0.3">
      <c r="B11" t="s">
        <v>5</v>
      </c>
      <c r="C11" t="s">
        <v>6</v>
      </c>
      <c r="D11" t="s">
        <v>7</v>
      </c>
    </row>
    <row r="12" spans="1:4" x14ac:dyDescent="0.3">
      <c r="A12" t="s">
        <v>4</v>
      </c>
      <c r="B12">
        <v>132</v>
      </c>
      <c r="C12">
        <v>152</v>
      </c>
      <c r="D12">
        <f>C12-B12</f>
        <v>20</v>
      </c>
    </row>
    <row r="13" spans="1:4" x14ac:dyDescent="0.3">
      <c r="A13" t="s">
        <v>3</v>
      </c>
      <c r="B13">
        <v>392</v>
      </c>
      <c r="C13">
        <v>400</v>
      </c>
      <c r="D13">
        <f>C13-B13</f>
        <v>8</v>
      </c>
    </row>
    <row r="14" spans="1:4" x14ac:dyDescent="0.3">
      <c r="A14" t="s">
        <v>2</v>
      </c>
      <c r="B14">
        <v>5344</v>
      </c>
      <c r="C14">
        <v>6423</v>
      </c>
      <c r="D14">
        <f>C14-B14</f>
        <v>1079</v>
      </c>
    </row>
    <row r="17" spans="1:4" x14ac:dyDescent="0.3">
      <c r="B17" t="s">
        <v>8</v>
      </c>
    </row>
    <row r="18" spans="1:4" x14ac:dyDescent="0.3">
      <c r="B18" t="s">
        <v>9</v>
      </c>
      <c r="C18" t="s">
        <v>10</v>
      </c>
      <c r="D18" t="s">
        <v>11</v>
      </c>
    </row>
    <row r="19" spans="1:4" x14ac:dyDescent="0.3">
      <c r="A19" t="s">
        <v>4</v>
      </c>
      <c r="B19">
        <v>4</v>
      </c>
      <c r="C19">
        <v>8</v>
      </c>
      <c r="D19" s="1">
        <f>C19-B19</f>
        <v>4</v>
      </c>
    </row>
    <row r="20" spans="1:4" x14ac:dyDescent="0.3">
      <c r="A20" t="s">
        <v>3</v>
      </c>
      <c r="B20">
        <v>64</v>
      </c>
      <c r="C20">
        <v>128</v>
      </c>
      <c r="D20" s="1">
        <f>C20-B20</f>
        <v>64</v>
      </c>
    </row>
    <row r="21" spans="1:4" x14ac:dyDescent="0.3">
      <c r="A21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workbookViewId="0">
      <selection activeCell="G36" sqref="G36"/>
    </sheetView>
  </sheetViews>
  <sheetFormatPr defaultRowHeight="14.4" x14ac:dyDescent="0.3"/>
  <cols>
    <col min="3" max="3" width="32.77734375" bestFit="1" customWidth="1"/>
    <col min="4" max="4" width="37.21875" bestFit="1" customWidth="1"/>
    <col min="5" max="5" width="7.109375" bestFit="1" customWidth="1"/>
    <col min="6" max="6" width="10.21875" bestFit="1" customWidth="1"/>
    <col min="7" max="7" width="16.21875" bestFit="1" customWidth="1"/>
    <col min="8" max="8" width="14" bestFit="1" customWidth="1"/>
    <col min="10" max="10" width="18.109375" bestFit="1" customWidth="1"/>
    <col min="11" max="11" width="16" bestFit="1" customWidth="1"/>
    <col min="13" max="13" width="9.5546875" bestFit="1" customWidth="1"/>
    <col min="15" max="15" width="9.88671875" bestFit="1" customWidth="1"/>
    <col min="16" max="16" width="15.88671875" bestFit="1" customWidth="1"/>
    <col min="17" max="17" width="13.77734375" bestFit="1" customWidth="1"/>
  </cols>
  <sheetData>
    <row r="1" spans="1:17" x14ac:dyDescent="0.3">
      <c r="A1" t="s">
        <v>46</v>
      </c>
      <c r="B1" t="s">
        <v>45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80</v>
      </c>
      <c r="J1" t="s">
        <v>19</v>
      </c>
      <c r="K1" t="s">
        <v>18</v>
      </c>
      <c r="M1" t="s">
        <v>81</v>
      </c>
      <c r="N1" t="s">
        <v>82</v>
      </c>
      <c r="O1" t="s">
        <v>80</v>
      </c>
      <c r="P1" t="s">
        <v>19</v>
      </c>
      <c r="Q1" t="s">
        <v>18</v>
      </c>
    </row>
    <row r="2" spans="1:17" x14ac:dyDescent="0.3">
      <c r="A2" t="s">
        <v>0</v>
      </c>
      <c r="B2" t="s">
        <v>42</v>
      </c>
      <c r="C2" t="s">
        <v>20</v>
      </c>
      <c r="D2" t="s">
        <v>21</v>
      </c>
      <c r="E2">
        <v>8</v>
      </c>
      <c r="F2" s="2">
        <v>1.4716119355236339</v>
      </c>
      <c r="G2" s="2">
        <v>1.5189376831054688</v>
      </c>
      <c r="H2" s="2">
        <v>1.5011787414550781</v>
      </c>
      <c r="I2" s="3">
        <f>F2/E2</f>
        <v>0.18395149194045424</v>
      </c>
      <c r="J2" s="3">
        <f>G2/E2</f>
        <v>0.1898672103881836</v>
      </c>
      <c r="K2" s="3">
        <f>H2/E2</f>
        <v>0.18764734268188477</v>
      </c>
      <c r="M2">
        <v>4</v>
      </c>
      <c r="N2">
        <f>E2-M2</f>
        <v>4</v>
      </c>
      <c r="O2" s="3">
        <f>F2/N2</f>
        <v>0.36790298388090847</v>
      </c>
      <c r="P2" s="3">
        <f>G2/N2</f>
        <v>0.37973442077636721</v>
      </c>
      <c r="Q2" s="3">
        <f>H2/N2</f>
        <v>0.37529468536376953</v>
      </c>
    </row>
    <row r="3" spans="1:17" x14ac:dyDescent="0.3">
      <c r="A3" t="s">
        <v>0</v>
      </c>
      <c r="B3" t="s">
        <v>42</v>
      </c>
      <c r="C3" t="s">
        <v>22</v>
      </c>
      <c r="D3" t="s">
        <v>23</v>
      </c>
      <c r="E3">
        <v>8</v>
      </c>
      <c r="F3" s="2">
        <v>1.551271987194891</v>
      </c>
      <c r="G3" s="2">
        <v>1.6108576456705666</v>
      </c>
      <c r="H3" s="2">
        <v>1.5854658508300781</v>
      </c>
      <c r="I3" s="3">
        <f t="shared" ref="I3:I31" si="0">F3/E3</f>
        <v>0.19390899839936138</v>
      </c>
      <c r="J3" s="3">
        <f t="shared" ref="J3:J31" si="1">G3/E3</f>
        <v>0.20135720570882082</v>
      </c>
      <c r="K3" s="3">
        <f t="shared" ref="K3:K31" si="2">H3/E3</f>
        <v>0.19818323135375976</v>
      </c>
      <c r="M3">
        <v>4</v>
      </c>
      <c r="N3">
        <f t="shared" ref="N3:N12" si="3">E3-M3</f>
        <v>4</v>
      </c>
      <c r="O3" s="3">
        <f t="shared" ref="O3:O12" si="4">F3/N3</f>
        <v>0.38781799679872275</v>
      </c>
      <c r="P3" s="3">
        <f t="shared" ref="P3:P13" si="5">G3/N3</f>
        <v>0.40271441141764164</v>
      </c>
      <c r="Q3" s="3">
        <f t="shared" ref="Q3:Q13" si="6">H3/N3</f>
        <v>0.39636646270751952</v>
      </c>
    </row>
    <row r="4" spans="1:17" x14ac:dyDescent="0.3">
      <c r="A4" t="s">
        <v>0</v>
      </c>
      <c r="B4" t="s">
        <v>42</v>
      </c>
      <c r="C4" t="s">
        <v>24</v>
      </c>
      <c r="D4" t="s">
        <v>25</v>
      </c>
      <c r="E4">
        <v>8</v>
      </c>
      <c r="F4" s="2">
        <v>1.627627767517805</v>
      </c>
      <c r="G4" s="2">
        <v>1.6719589233398438</v>
      </c>
      <c r="H4" s="2">
        <v>1.6534716542561818</v>
      </c>
      <c r="I4" s="3">
        <f t="shared" si="0"/>
        <v>0.20345347093972563</v>
      </c>
      <c r="J4" s="3">
        <f t="shared" si="1"/>
        <v>0.20899486541748047</v>
      </c>
      <c r="K4" s="3">
        <f t="shared" si="2"/>
        <v>0.20668395678202273</v>
      </c>
      <c r="M4">
        <v>4</v>
      </c>
      <c r="N4">
        <f t="shared" si="3"/>
        <v>4</v>
      </c>
      <c r="O4" s="3">
        <f t="shared" si="4"/>
        <v>0.40690694187945126</v>
      </c>
      <c r="P4" s="3">
        <f t="shared" si="5"/>
        <v>0.41798973083496094</v>
      </c>
      <c r="Q4" s="3">
        <f t="shared" si="6"/>
        <v>0.41336791356404545</v>
      </c>
    </row>
    <row r="5" spans="1:17" x14ac:dyDescent="0.3">
      <c r="A5" t="s">
        <v>0</v>
      </c>
      <c r="B5" t="s">
        <v>44</v>
      </c>
      <c r="C5" t="s">
        <v>26</v>
      </c>
      <c r="D5" t="s">
        <v>27</v>
      </c>
      <c r="E5">
        <v>32</v>
      </c>
      <c r="F5" s="2">
        <v>15.069955503945256</v>
      </c>
      <c r="G5" s="2">
        <v>21.465665435791017</v>
      </c>
      <c r="H5" s="2">
        <v>20.223938242594336</v>
      </c>
      <c r="I5" s="3">
        <f t="shared" si="0"/>
        <v>0.47093610949828923</v>
      </c>
      <c r="J5" s="3">
        <f t="shared" si="1"/>
        <v>0.67080204486846928</v>
      </c>
      <c r="K5" s="3">
        <f t="shared" si="2"/>
        <v>0.631998070081073</v>
      </c>
      <c r="M5">
        <v>0</v>
      </c>
      <c r="N5">
        <f t="shared" si="3"/>
        <v>32</v>
      </c>
      <c r="O5" s="3">
        <f t="shared" si="4"/>
        <v>0.47093610949828923</v>
      </c>
      <c r="P5" s="3">
        <f t="shared" si="5"/>
        <v>0.67080204486846928</v>
      </c>
      <c r="Q5" s="3">
        <f t="shared" si="6"/>
        <v>0.631998070081073</v>
      </c>
    </row>
    <row r="6" spans="1:17" x14ac:dyDescent="0.3">
      <c r="A6" t="s">
        <v>0</v>
      </c>
      <c r="B6" t="s">
        <v>44</v>
      </c>
      <c r="C6" t="s">
        <v>28</v>
      </c>
      <c r="D6" t="s">
        <v>29</v>
      </c>
      <c r="E6">
        <v>32</v>
      </c>
      <c r="F6" s="2">
        <v>9.2155185357946294</v>
      </c>
      <c r="G6" s="2">
        <v>10.10046488444004</v>
      </c>
      <c r="H6" s="2">
        <v>9.3952318064371685</v>
      </c>
      <c r="I6" s="3">
        <f t="shared" si="0"/>
        <v>0.28798495424358217</v>
      </c>
      <c r="J6" s="3">
        <f t="shared" si="1"/>
        <v>0.31563952763875125</v>
      </c>
      <c r="K6" s="3">
        <f t="shared" si="2"/>
        <v>0.29360099395116152</v>
      </c>
      <c r="M6" s="4">
        <v>16</v>
      </c>
      <c r="N6">
        <f t="shared" si="3"/>
        <v>16</v>
      </c>
      <c r="O6" s="3">
        <f t="shared" si="4"/>
        <v>0.57596990848716434</v>
      </c>
      <c r="P6" s="3">
        <f t="shared" si="5"/>
        <v>0.6312790552775025</v>
      </c>
      <c r="Q6" s="3">
        <f t="shared" si="6"/>
        <v>0.58720198790232303</v>
      </c>
    </row>
    <row r="7" spans="1:17" x14ac:dyDescent="0.3">
      <c r="A7" t="s">
        <v>0</v>
      </c>
      <c r="B7" t="s">
        <v>44</v>
      </c>
      <c r="C7" t="s">
        <v>30</v>
      </c>
      <c r="D7" t="s">
        <v>31</v>
      </c>
      <c r="E7">
        <v>32</v>
      </c>
      <c r="F7" s="2">
        <v>10.305285839756108</v>
      </c>
      <c r="G7" s="2">
        <v>10.610607910156251</v>
      </c>
      <c r="H7" s="2">
        <v>10.459918683369922</v>
      </c>
      <c r="I7" s="3">
        <f t="shared" si="0"/>
        <v>0.32204018249237837</v>
      </c>
      <c r="J7" s="3">
        <f t="shared" si="1"/>
        <v>0.33158149719238283</v>
      </c>
      <c r="K7" s="3">
        <f t="shared" si="2"/>
        <v>0.32687245885531008</v>
      </c>
      <c r="M7" s="4">
        <v>16</v>
      </c>
      <c r="N7">
        <f t="shared" si="3"/>
        <v>16</v>
      </c>
      <c r="O7" s="3">
        <f t="shared" si="4"/>
        <v>0.64408036498475674</v>
      </c>
      <c r="P7" s="3">
        <f t="shared" si="5"/>
        <v>0.66316299438476567</v>
      </c>
      <c r="Q7" s="3">
        <f t="shared" si="6"/>
        <v>0.65374491771062015</v>
      </c>
    </row>
    <row r="8" spans="1:17" x14ac:dyDescent="0.3">
      <c r="A8" t="s">
        <v>0</v>
      </c>
      <c r="B8" t="s">
        <v>44</v>
      </c>
      <c r="C8" t="s">
        <v>32</v>
      </c>
      <c r="D8" t="s">
        <v>33</v>
      </c>
      <c r="E8">
        <v>32</v>
      </c>
      <c r="F8" s="2">
        <v>10.264061872446728</v>
      </c>
      <c r="G8" s="2">
        <v>10.560823822021485</v>
      </c>
      <c r="H8" s="2">
        <v>10.406464385986329</v>
      </c>
      <c r="I8" s="3">
        <f t="shared" si="0"/>
        <v>0.32075193351396025</v>
      </c>
      <c r="J8" s="3">
        <f t="shared" si="1"/>
        <v>0.3300257444381714</v>
      </c>
      <c r="K8" s="3">
        <f t="shared" si="2"/>
        <v>0.32520201206207278</v>
      </c>
      <c r="M8" s="4">
        <v>16</v>
      </c>
      <c r="N8">
        <f t="shared" si="3"/>
        <v>16</v>
      </c>
      <c r="O8" s="3">
        <f t="shared" si="4"/>
        <v>0.6415038670279205</v>
      </c>
      <c r="P8" s="3">
        <f t="shared" si="5"/>
        <v>0.6600514888763428</v>
      </c>
      <c r="Q8" s="3">
        <f t="shared" si="6"/>
        <v>0.65040402412414555</v>
      </c>
    </row>
    <row r="9" spans="1:17" x14ac:dyDescent="0.3">
      <c r="A9" t="s">
        <v>0</v>
      </c>
      <c r="B9" t="s">
        <v>43</v>
      </c>
      <c r="C9" t="s">
        <v>34</v>
      </c>
      <c r="D9" t="s">
        <v>35</v>
      </c>
      <c r="E9">
        <v>8</v>
      </c>
      <c r="F9" s="2">
        <v>1.2162967880295659</v>
      </c>
      <c r="G9" s="2">
        <v>1.2822326660156249</v>
      </c>
      <c r="H9" s="2">
        <v>1.2274625142415332</v>
      </c>
      <c r="I9" s="3">
        <f t="shared" si="0"/>
        <v>0.15203709850369573</v>
      </c>
      <c r="J9" s="3">
        <f t="shared" si="1"/>
        <v>0.16027908325195311</v>
      </c>
      <c r="K9" s="3">
        <f t="shared" si="2"/>
        <v>0.15343281428019165</v>
      </c>
      <c r="M9">
        <v>4</v>
      </c>
      <c r="N9">
        <f t="shared" si="3"/>
        <v>4</v>
      </c>
      <c r="O9" s="3">
        <f t="shared" si="4"/>
        <v>0.30407419700739147</v>
      </c>
      <c r="P9" s="3">
        <f t="shared" si="5"/>
        <v>0.32055816650390623</v>
      </c>
      <c r="Q9" s="3">
        <f t="shared" si="6"/>
        <v>0.3068656285603833</v>
      </c>
    </row>
    <row r="10" spans="1:17" x14ac:dyDescent="0.3">
      <c r="A10" t="s">
        <v>0</v>
      </c>
      <c r="B10" t="s">
        <v>42</v>
      </c>
      <c r="C10" t="s">
        <v>36</v>
      </c>
      <c r="D10" t="s">
        <v>37</v>
      </c>
      <c r="E10">
        <v>16</v>
      </c>
      <c r="F10" s="2">
        <v>2.1130023969575693</v>
      </c>
      <c r="G10" s="2">
        <v>2.1499659220377541</v>
      </c>
      <c r="H10" s="2">
        <v>2.1331054687500002</v>
      </c>
      <c r="I10" s="3">
        <f t="shared" si="0"/>
        <v>0.13206264980984808</v>
      </c>
      <c r="J10" s="3">
        <f t="shared" si="1"/>
        <v>0.13437287012735963</v>
      </c>
      <c r="K10" s="3">
        <f t="shared" si="2"/>
        <v>0.13331909179687501</v>
      </c>
      <c r="M10">
        <v>8</v>
      </c>
      <c r="N10">
        <f t="shared" si="3"/>
        <v>8</v>
      </c>
      <c r="O10" s="3">
        <f t="shared" si="4"/>
        <v>0.26412529961969616</v>
      </c>
      <c r="P10" s="3">
        <f t="shared" si="5"/>
        <v>0.26874574025471926</v>
      </c>
      <c r="Q10" s="3">
        <f t="shared" si="6"/>
        <v>0.26663818359375002</v>
      </c>
    </row>
    <row r="11" spans="1:17" x14ac:dyDescent="0.3">
      <c r="A11" t="s">
        <v>0</v>
      </c>
      <c r="B11" t="s">
        <v>42</v>
      </c>
      <c r="C11" t="s">
        <v>38</v>
      </c>
      <c r="D11" t="s">
        <v>39</v>
      </c>
      <c r="E11">
        <v>16</v>
      </c>
      <c r="F11" s="2">
        <v>3.6715300934346105</v>
      </c>
      <c r="G11" s="2">
        <v>3.7111790974934769</v>
      </c>
      <c r="H11" s="2">
        <v>3.6893489837646389</v>
      </c>
      <c r="I11" s="3">
        <f t="shared" si="0"/>
        <v>0.22947063083966315</v>
      </c>
      <c r="J11" s="3">
        <f t="shared" si="1"/>
        <v>0.2319486935933423</v>
      </c>
      <c r="K11" s="3">
        <f t="shared" si="2"/>
        <v>0.23058431148528993</v>
      </c>
      <c r="M11">
        <v>8</v>
      </c>
      <c r="N11">
        <f t="shared" si="3"/>
        <v>8</v>
      </c>
      <c r="O11" s="3">
        <f t="shared" si="4"/>
        <v>0.45894126167932631</v>
      </c>
      <c r="P11" s="3">
        <f t="shared" si="5"/>
        <v>0.46389738718668461</v>
      </c>
      <c r="Q11" s="3">
        <f t="shared" si="6"/>
        <v>0.46116862297057987</v>
      </c>
    </row>
    <row r="12" spans="1:17" x14ac:dyDescent="0.3">
      <c r="A12" t="s">
        <v>0</v>
      </c>
      <c r="B12" t="s">
        <v>42</v>
      </c>
      <c r="C12" t="s">
        <v>40</v>
      </c>
      <c r="D12" t="s">
        <v>41</v>
      </c>
      <c r="E12">
        <v>16</v>
      </c>
      <c r="F12" s="2">
        <v>3.8513155892706394</v>
      </c>
      <c r="G12" s="2">
        <v>3.8826416015624998</v>
      </c>
      <c r="H12" s="2">
        <v>3.8698421732584669</v>
      </c>
      <c r="I12" s="3">
        <f t="shared" si="0"/>
        <v>0.24070722432941496</v>
      </c>
      <c r="J12" s="3">
        <f t="shared" si="1"/>
        <v>0.24266510009765624</v>
      </c>
      <c r="K12" s="3">
        <f t="shared" si="2"/>
        <v>0.24186513582865418</v>
      </c>
      <c r="M12">
        <v>8</v>
      </c>
      <c r="N12">
        <f t="shared" si="3"/>
        <v>8</v>
      </c>
      <c r="O12" s="3">
        <f t="shared" si="4"/>
        <v>0.48141444865882993</v>
      </c>
      <c r="P12" s="3">
        <f t="shared" si="5"/>
        <v>0.48533020019531248</v>
      </c>
      <c r="Q12" s="3">
        <f t="shared" si="6"/>
        <v>0.48373027165730836</v>
      </c>
    </row>
    <row r="13" spans="1:17" x14ac:dyDescent="0.3">
      <c r="E13">
        <f>SUM(E2:E12)</f>
        <v>208</v>
      </c>
      <c r="F13" s="2">
        <f t="shared" ref="F13:H13" si="7">SUM(F2:F12)</f>
        <v>60.357478309871439</v>
      </c>
      <c r="G13" s="2">
        <f t="shared" si="7"/>
        <v>68.56533559163401</v>
      </c>
      <c r="H13" s="2">
        <f t="shared" si="7"/>
        <v>66.145428504943723</v>
      </c>
      <c r="I13" s="3">
        <f>F13/E13</f>
        <v>0.29018018418207425</v>
      </c>
      <c r="J13" s="3">
        <f>G13/E13</f>
        <v>0.32964103649824045</v>
      </c>
      <c r="K13" s="3">
        <f>H13/E13</f>
        <v>0.31800686781222942</v>
      </c>
      <c r="M13" s="7">
        <f>SUM(M2:M12)</f>
        <v>88</v>
      </c>
      <c r="N13">
        <f>SUM(N2:N12)</f>
        <v>120</v>
      </c>
      <c r="O13" s="3">
        <f>F13/N13</f>
        <v>0.50297898591559531</v>
      </c>
      <c r="P13" s="3">
        <f t="shared" si="5"/>
        <v>0.57137779659695009</v>
      </c>
      <c r="Q13" s="3">
        <f t="shared" si="6"/>
        <v>0.55121190420786437</v>
      </c>
    </row>
    <row r="14" spans="1:17" x14ac:dyDescent="0.3">
      <c r="F14" s="2"/>
      <c r="G14" s="2"/>
      <c r="H14" s="2"/>
      <c r="I14" s="3"/>
      <c r="J14" s="3"/>
      <c r="K14" s="3"/>
      <c r="O14" s="3"/>
      <c r="P14" s="3"/>
      <c r="Q14" s="3"/>
    </row>
    <row r="15" spans="1:17" x14ac:dyDescent="0.3">
      <c r="F15" s="2"/>
      <c r="G15" s="2"/>
      <c r="H15" s="2"/>
      <c r="I15" s="3"/>
      <c r="J15" s="3"/>
      <c r="K15" s="3"/>
      <c r="O15" s="3"/>
      <c r="P15" s="3"/>
      <c r="Q15" s="3"/>
    </row>
    <row r="16" spans="1:17" x14ac:dyDescent="0.3">
      <c r="A16" t="s">
        <v>1</v>
      </c>
      <c r="B16" t="s">
        <v>42</v>
      </c>
      <c r="C16" t="s">
        <v>47</v>
      </c>
      <c r="D16" t="s">
        <v>48</v>
      </c>
      <c r="E16">
        <v>8</v>
      </c>
      <c r="F16" s="2">
        <v>1.6923058785652925</v>
      </c>
      <c r="G16" s="2">
        <v>1.7310829162597656</v>
      </c>
      <c r="H16" s="2">
        <v>1.7152989705403614</v>
      </c>
      <c r="I16" s="3">
        <f t="shared" si="0"/>
        <v>0.21153823482066156</v>
      </c>
      <c r="J16" s="3">
        <f t="shared" si="1"/>
        <v>0.2163853645324707</v>
      </c>
      <c r="K16" s="3">
        <f t="shared" si="2"/>
        <v>0.21441237131754518</v>
      </c>
      <c r="M16">
        <v>4</v>
      </c>
      <c r="N16">
        <f t="shared" ref="N16:N31" si="8">E16-M16</f>
        <v>4</v>
      </c>
      <c r="O16" s="3">
        <f t="shared" ref="O16:O31" si="9">F16/N16</f>
        <v>0.42307646964132312</v>
      </c>
      <c r="P16" s="3">
        <f t="shared" ref="P16:P32" si="10">G16/N16</f>
        <v>0.43277072906494141</v>
      </c>
      <c r="Q16" s="3">
        <f t="shared" ref="Q16:Q32" si="11">H16/N16</f>
        <v>0.42882474263509035</v>
      </c>
    </row>
    <row r="17" spans="1:17" x14ac:dyDescent="0.3">
      <c r="A17" t="s">
        <v>1</v>
      </c>
      <c r="B17" t="s">
        <v>42</v>
      </c>
      <c r="C17" t="s">
        <v>49</v>
      </c>
      <c r="D17" t="s">
        <v>50</v>
      </c>
      <c r="E17">
        <v>8</v>
      </c>
      <c r="F17" s="2">
        <v>1.5877274303299236</v>
      </c>
      <c r="G17" s="2">
        <v>1.6342941284179688</v>
      </c>
      <c r="H17" s="2">
        <v>1.618549855550127</v>
      </c>
      <c r="I17" s="3">
        <f t="shared" si="0"/>
        <v>0.19846592879124045</v>
      </c>
      <c r="J17" s="3">
        <f t="shared" si="1"/>
        <v>0.2042867660522461</v>
      </c>
      <c r="K17" s="3">
        <f t="shared" si="2"/>
        <v>0.20231873194376587</v>
      </c>
      <c r="M17">
        <v>4</v>
      </c>
      <c r="N17">
        <f t="shared" si="8"/>
        <v>4</v>
      </c>
      <c r="O17" s="3">
        <f t="shared" si="9"/>
        <v>0.3969318575824809</v>
      </c>
      <c r="P17" s="3">
        <f t="shared" si="10"/>
        <v>0.40857353210449221</v>
      </c>
      <c r="Q17" s="3">
        <f t="shared" si="11"/>
        <v>0.40463746388753175</v>
      </c>
    </row>
    <row r="18" spans="1:17" x14ac:dyDescent="0.3">
      <c r="A18" t="s">
        <v>1</v>
      </c>
      <c r="B18" t="s">
        <v>42</v>
      </c>
      <c r="C18" t="s">
        <v>51</v>
      </c>
      <c r="D18" t="s">
        <v>52</v>
      </c>
      <c r="E18">
        <v>8</v>
      </c>
      <c r="F18" s="2">
        <v>1.5464538062948894</v>
      </c>
      <c r="G18" s="2">
        <v>1.5876785278320313</v>
      </c>
      <c r="H18" s="2">
        <v>1.5686096700032521</v>
      </c>
      <c r="I18" s="3">
        <f t="shared" si="0"/>
        <v>0.19330672578686117</v>
      </c>
      <c r="J18" s="3">
        <f t="shared" si="1"/>
        <v>0.19845981597900392</v>
      </c>
      <c r="K18" s="3">
        <f t="shared" si="2"/>
        <v>0.19607620875040652</v>
      </c>
      <c r="M18">
        <v>4</v>
      </c>
      <c r="N18">
        <f t="shared" si="8"/>
        <v>4</v>
      </c>
      <c r="O18" s="3">
        <f t="shared" si="9"/>
        <v>0.38661345157372234</v>
      </c>
      <c r="P18" s="3">
        <f t="shared" si="10"/>
        <v>0.39691963195800783</v>
      </c>
      <c r="Q18" s="3">
        <f t="shared" si="11"/>
        <v>0.39215241750081303</v>
      </c>
    </row>
    <row r="19" spans="1:17" x14ac:dyDescent="0.3">
      <c r="A19" t="s">
        <v>1</v>
      </c>
      <c r="B19" t="s">
        <v>79</v>
      </c>
      <c r="C19" t="s">
        <v>53</v>
      </c>
      <c r="D19" t="s">
        <v>54</v>
      </c>
      <c r="E19">
        <v>64</v>
      </c>
      <c r="F19" s="2">
        <v>6.6311773794203468</v>
      </c>
      <c r="G19" s="2">
        <v>43.151431274414065</v>
      </c>
      <c r="H19" s="2">
        <v>8.170024210611972</v>
      </c>
      <c r="I19" s="3">
        <f t="shared" si="0"/>
        <v>0.10361214655344292</v>
      </c>
      <c r="J19" s="3">
        <f t="shared" si="1"/>
        <v>0.67424111366271977</v>
      </c>
      <c r="K19" s="3">
        <f t="shared" si="2"/>
        <v>0.12765662829081206</v>
      </c>
      <c r="N19">
        <f t="shared" si="8"/>
        <v>64</v>
      </c>
      <c r="O19" s="3">
        <f t="shared" si="9"/>
        <v>0.10361214655344292</v>
      </c>
      <c r="P19" s="3">
        <f t="shared" si="10"/>
        <v>0.67424111366271977</v>
      </c>
      <c r="Q19" s="3">
        <f t="shared" si="11"/>
        <v>0.12765662829081206</v>
      </c>
    </row>
    <row r="20" spans="1:17" x14ac:dyDescent="0.3">
      <c r="A20" t="s">
        <v>1</v>
      </c>
      <c r="B20" t="s">
        <v>79</v>
      </c>
      <c r="C20" t="s">
        <v>55</v>
      </c>
      <c r="D20" t="s">
        <v>56</v>
      </c>
      <c r="E20">
        <v>64</v>
      </c>
      <c r="F20" s="2">
        <v>37.458421743838116</v>
      </c>
      <c r="G20" s="2">
        <v>61.308161671956256</v>
      </c>
      <c r="H20" s="2">
        <v>54.869799550374317</v>
      </c>
      <c r="I20" s="3">
        <f t="shared" si="0"/>
        <v>0.58528783974747056</v>
      </c>
      <c r="J20" s="3">
        <f t="shared" si="1"/>
        <v>0.9579400261243165</v>
      </c>
      <c r="K20" s="3">
        <f t="shared" si="2"/>
        <v>0.85734061797459871</v>
      </c>
      <c r="N20">
        <f t="shared" si="8"/>
        <v>64</v>
      </c>
      <c r="O20" s="3">
        <f t="shared" si="9"/>
        <v>0.58528783974747056</v>
      </c>
      <c r="P20" s="3">
        <f t="shared" si="10"/>
        <v>0.9579400261243165</v>
      </c>
      <c r="Q20" s="3">
        <f t="shared" si="11"/>
        <v>0.85734061797459871</v>
      </c>
    </row>
    <row r="21" spans="1:17" x14ac:dyDescent="0.3">
      <c r="A21" t="s">
        <v>1</v>
      </c>
      <c r="B21" t="s">
        <v>44</v>
      </c>
      <c r="C21" t="s">
        <v>57</v>
      </c>
      <c r="D21" t="s">
        <v>58</v>
      </c>
      <c r="E21">
        <v>32</v>
      </c>
      <c r="F21" s="2">
        <v>20.083533390842533</v>
      </c>
      <c r="G21" s="2">
        <v>21.308809407552051</v>
      </c>
      <c r="H21" s="2">
        <v>21.043705698649024</v>
      </c>
      <c r="I21" s="3">
        <f t="shared" si="0"/>
        <v>0.62761041846382914</v>
      </c>
      <c r="J21" s="3">
        <f t="shared" si="1"/>
        <v>0.66590029398600159</v>
      </c>
      <c r="K21" s="3">
        <f t="shared" si="2"/>
        <v>0.657615803082782</v>
      </c>
      <c r="N21">
        <f t="shared" si="8"/>
        <v>32</v>
      </c>
      <c r="O21" s="3">
        <f t="shared" si="9"/>
        <v>0.62761041846382914</v>
      </c>
      <c r="P21" s="3">
        <f t="shared" si="10"/>
        <v>0.66590029398600159</v>
      </c>
      <c r="Q21" s="3">
        <f t="shared" si="11"/>
        <v>0.657615803082782</v>
      </c>
    </row>
    <row r="22" spans="1:17" x14ac:dyDescent="0.3">
      <c r="A22" t="s">
        <v>1</v>
      </c>
      <c r="B22" t="s">
        <v>44</v>
      </c>
      <c r="C22" t="s">
        <v>59</v>
      </c>
      <c r="D22" t="s">
        <v>60</v>
      </c>
      <c r="E22">
        <v>32</v>
      </c>
      <c r="F22" s="2">
        <v>9.1116042585067074</v>
      </c>
      <c r="G22" s="2">
        <v>9.4338704427083293</v>
      </c>
      <c r="H22" s="2">
        <v>9.2377559407552052</v>
      </c>
      <c r="I22" s="3">
        <f t="shared" si="0"/>
        <v>0.28473763307833461</v>
      </c>
      <c r="J22" s="3">
        <f t="shared" si="1"/>
        <v>0.29480845133463529</v>
      </c>
      <c r="K22" s="3">
        <f t="shared" si="2"/>
        <v>0.28867987314860016</v>
      </c>
      <c r="M22" s="4">
        <v>16</v>
      </c>
      <c r="N22">
        <f t="shared" si="8"/>
        <v>16</v>
      </c>
      <c r="O22" s="3">
        <f t="shared" si="9"/>
        <v>0.56947526615666921</v>
      </c>
      <c r="P22" s="3">
        <f t="shared" si="10"/>
        <v>0.58961690266927058</v>
      </c>
      <c r="Q22" s="3">
        <f t="shared" si="11"/>
        <v>0.57735974629720033</v>
      </c>
    </row>
    <row r="23" spans="1:17" x14ac:dyDescent="0.3">
      <c r="A23" t="s">
        <v>1</v>
      </c>
      <c r="B23" t="s">
        <v>44</v>
      </c>
      <c r="C23" t="s">
        <v>61</v>
      </c>
      <c r="D23" t="s">
        <v>62</v>
      </c>
      <c r="E23">
        <v>32</v>
      </c>
      <c r="F23" s="2">
        <v>10.778491759425545</v>
      </c>
      <c r="G23" s="2">
        <v>11.19317855834961</v>
      </c>
      <c r="H23" s="2">
        <v>10.919674682617188</v>
      </c>
      <c r="I23" s="3">
        <f t="shared" si="0"/>
        <v>0.33682786748204829</v>
      </c>
      <c r="J23" s="3">
        <f t="shared" si="1"/>
        <v>0.3497868299484253</v>
      </c>
      <c r="K23" s="3">
        <f t="shared" si="2"/>
        <v>0.34123983383178713</v>
      </c>
      <c r="M23">
        <v>16</v>
      </c>
      <c r="N23">
        <f t="shared" si="8"/>
        <v>16</v>
      </c>
      <c r="O23" s="3">
        <f t="shared" si="9"/>
        <v>0.67365573496409659</v>
      </c>
      <c r="P23" s="3">
        <f t="shared" si="10"/>
        <v>0.69957365989685061</v>
      </c>
      <c r="Q23" s="3">
        <f t="shared" si="11"/>
        <v>0.68247966766357426</v>
      </c>
    </row>
    <row r="24" spans="1:17" x14ac:dyDescent="0.3">
      <c r="A24" t="s">
        <v>1</v>
      </c>
      <c r="B24" t="s">
        <v>44</v>
      </c>
      <c r="C24" t="s">
        <v>63</v>
      </c>
      <c r="D24" t="s">
        <v>64</v>
      </c>
      <c r="E24">
        <v>32</v>
      </c>
      <c r="F24" s="2">
        <v>11.241666096312619</v>
      </c>
      <c r="G24" s="2">
        <v>11.378903452555274</v>
      </c>
      <c r="H24" s="2">
        <v>11.33390452067051</v>
      </c>
      <c r="I24" s="3">
        <f t="shared" si="0"/>
        <v>0.35130206550976933</v>
      </c>
      <c r="J24" s="3">
        <f t="shared" si="1"/>
        <v>0.35559073289235232</v>
      </c>
      <c r="K24" s="3">
        <f t="shared" si="2"/>
        <v>0.35418451627095343</v>
      </c>
      <c r="M24">
        <v>16</v>
      </c>
      <c r="N24">
        <f t="shared" si="8"/>
        <v>16</v>
      </c>
      <c r="O24" s="3">
        <f t="shared" si="9"/>
        <v>0.70260413101953867</v>
      </c>
      <c r="P24" s="3">
        <f t="shared" si="10"/>
        <v>0.71118146578470465</v>
      </c>
      <c r="Q24" s="3">
        <f t="shared" si="11"/>
        <v>0.70836903254190686</v>
      </c>
    </row>
    <row r="25" spans="1:17" x14ac:dyDescent="0.3">
      <c r="A25" t="s">
        <v>1</v>
      </c>
      <c r="B25" t="s">
        <v>43</v>
      </c>
      <c r="C25" t="s">
        <v>65</v>
      </c>
      <c r="D25" t="s">
        <v>66</v>
      </c>
      <c r="E25">
        <v>16</v>
      </c>
      <c r="F25" s="2">
        <v>1.0710882467399596</v>
      </c>
      <c r="G25" s="2">
        <v>1.1253280639648438</v>
      </c>
      <c r="H25" s="2">
        <v>1.0841682434082032</v>
      </c>
      <c r="I25" s="3">
        <f t="shared" si="0"/>
        <v>6.6943015421247476E-2</v>
      </c>
      <c r="J25" s="3">
        <f t="shared" si="1"/>
        <v>7.0333003997802734E-2</v>
      </c>
      <c r="K25" s="3">
        <f t="shared" si="2"/>
        <v>6.7760515213012698E-2</v>
      </c>
      <c r="M25">
        <v>12</v>
      </c>
      <c r="N25">
        <f t="shared" si="8"/>
        <v>4</v>
      </c>
      <c r="O25" s="3">
        <f t="shared" si="9"/>
        <v>0.2677720616849899</v>
      </c>
      <c r="P25" s="3">
        <f t="shared" si="10"/>
        <v>0.28133201599121094</v>
      </c>
      <c r="Q25" s="3">
        <f t="shared" si="11"/>
        <v>0.27104206085205079</v>
      </c>
    </row>
    <row r="26" spans="1:17" x14ac:dyDescent="0.3">
      <c r="A26" t="s">
        <v>1</v>
      </c>
      <c r="B26" t="s">
        <v>43</v>
      </c>
      <c r="C26" t="s">
        <v>67</v>
      </c>
      <c r="D26" t="s">
        <v>68</v>
      </c>
      <c r="E26">
        <v>16</v>
      </c>
      <c r="F26" s="2">
        <v>1.1503681724997044</v>
      </c>
      <c r="G26" s="2">
        <v>1.2334520975748635</v>
      </c>
      <c r="H26" s="2">
        <v>1.1626265970865821</v>
      </c>
      <c r="I26" s="3">
        <f t="shared" si="0"/>
        <v>7.1898010781231522E-2</v>
      </c>
      <c r="J26" s="3">
        <f t="shared" si="1"/>
        <v>7.709075609842897E-2</v>
      </c>
      <c r="K26" s="3">
        <f t="shared" si="2"/>
        <v>7.2664162317911382E-2</v>
      </c>
      <c r="M26">
        <v>12</v>
      </c>
      <c r="N26">
        <f t="shared" si="8"/>
        <v>4</v>
      </c>
      <c r="O26" s="3">
        <f t="shared" si="9"/>
        <v>0.28759204312492609</v>
      </c>
      <c r="P26" s="3">
        <f t="shared" si="10"/>
        <v>0.30836302439371588</v>
      </c>
      <c r="Q26" s="3">
        <f t="shared" si="11"/>
        <v>0.29065664927164553</v>
      </c>
    </row>
    <row r="27" spans="1:17" x14ac:dyDescent="0.3">
      <c r="A27" t="s">
        <v>1</v>
      </c>
      <c r="B27" t="s">
        <v>42</v>
      </c>
      <c r="C27" t="s">
        <v>69</v>
      </c>
      <c r="D27" t="s">
        <v>70</v>
      </c>
      <c r="E27">
        <v>16</v>
      </c>
      <c r="F27" s="2">
        <v>2.7260015057957934</v>
      </c>
      <c r="G27" s="2">
        <v>2.7891677856445312</v>
      </c>
      <c r="H27" s="2">
        <v>2.7718692016601563</v>
      </c>
      <c r="I27" s="3">
        <f t="shared" si="0"/>
        <v>0.17037509411223709</v>
      </c>
      <c r="J27" s="3">
        <f t="shared" si="1"/>
        <v>0.1743229866027832</v>
      </c>
      <c r="K27" s="3">
        <f t="shared" si="2"/>
        <v>0.17324182510375977</v>
      </c>
      <c r="M27">
        <v>8</v>
      </c>
      <c r="N27">
        <f t="shared" si="8"/>
        <v>8</v>
      </c>
      <c r="O27" s="3">
        <f t="shared" si="9"/>
        <v>0.34075018822447417</v>
      </c>
      <c r="P27" s="3">
        <f t="shared" si="10"/>
        <v>0.3486459732055664</v>
      </c>
      <c r="Q27" s="3">
        <f t="shared" si="11"/>
        <v>0.34648365020751953</v>
      </c>
    </row>
    <row r="28" spans="1:17" x14ac:dyDescent="0.3">
      <c r="A28" t="s">
        <v>1</v>
      </c>
      <c r="B28" t="s">
        <v>42</v>
      </c>
      <c r="C28" t="s">
        <v>71</v>
      </c>
      <c r="D28" t="s">
        <v>72</v>
      </c>
      <c r="E28">
        <v>16</v>
      </c>
      <c r="F28" s="2">
        <v>1.6823815482691573</v>
      </c>
      <c r="G28" s="2">
        <v>1.7203722635904883</v>
      </c>
      <c r="H28" s="2">
        <v>1.7057123819986915</v>
      </c>
      <c r="I28" s="3">
        <f t="shared" si="0"/>
        <v>0.10514884676682233</v>
      </c>
      <c r="J28" s="3">
        <f t="shared" si="1"/>
        <v>0.10752326647440552</v>
      </c>
      <c r="K28" s="3">
        <f t="shared" si="2"/>
        <v>0.10660702387491822</v>
      </c>
      <c r="M28">
        <v>8</v>
      </c>
      <c r="N28">
        <f t="shared" si="8"/>
        <v>8</v>
      </c>
      <c r="O28" s="3">
        <f t="shared" si="9"/>
        <v>0.21029769353364466</v>
      </c>
      <c r="P28" s="3">
        <f t="shared" si="10"/>
        <v>0.21504653294881104</v>
      </c>
      <c r="Q28" s="3">
        <f t="shared" si="11"/>
        <v>0.21321404774983643</v>
      </c>
    </row>
    <row r="29" spans="1:17" x14ac:dyDescent="0.3">
      <c r="A29" t="s">
        <v>1</v>
      </c>
      <c r="B29" t="s">
        <v>42</v>
      </c>
      <c r="C29" t="s">
        <v>73</v>
      </c>
      <c r="D29" t="s">
        <v>74</v>
      </c>
      <c r="E29">
        <v>16</v>
      </c>
      <c r="F29" s="2">
        <v>1.9047436065517236</v>
      </c>
      <c r="G29" s="2">
        <v>1.9372146606445313</v>
      </c>
      <c r="H29" s="2">
        <v>1.9225830078124999</v>
      </c>
      <c r="I29" s="3">
        <f t="shared" si="0"/>
        <v>0.11904647540948272</v>
      </c>
      <c r="J29" s="3">
        <f t="shared" si="1"/>
        <v>0.12107591629028321</v>
      </c>
      <c r="K29" s="3">
        <f t="shared" si="2"/>
        <v>0.12016143798828124</v>
      </c>
      <c r="M29">
        <v>8</v>
      </c>
      <c r="N29">
        <f t="shared" si="8"/>
        <v>8</v>
      </c>
      <c r="O29" s="3">
        <f t="shared" si="9"/>
        <v>0.23809295081896545</v>
      </c>
      <c r="P29" s="3">
        <f t="shared" si="10"/>
        <v>0.24215183258056641</v>
      </c>
      <c r="Q29" s="3">
        <f t="shared" si="11"/>
        <v>0.24032287597656249</v>
      </c>
    </row>
    <row r="30" spans="1:17" x14ac:dyDescent="0.3">
      <c r="A30" t="s">
        <v>1</v>
      </c>
      <c r="B30" t="s">
        <v>42</v>
      </c>
      <c r="C30" t="s">
        <v>75</v>
      </c>
      <c r="D30" t="s">
        <v>76</v>
      </c>
      <c r="E30">
        <v>16</v>
      </c>
      <c r="F30" s="2">
        <v>2.7325594249556162</v>
      </c>
      <c r="G30" s="2">
        <v>2.7688316345214843</v>
      </c>
      <c r="H30" s="2">
        <v>2.7469806035359667</v>
      </c>
      <c r="I30" s="3">
        <f t="shared" si="0"/>
        <v>0.17078496405972601</v>
      </c>
      <c r="J30" s="3">
        <f t="shared" si="1"/>
        <v>0.17305197715759277</v>
      </c>
      <c r="K30" s="3">
        <f t="shared" si="2"/>
        <v>0.17168628772099792</v>
      </c>
      <c r="M30">
        <v>8</v>
      </c>
      <c r="N30">
        <f t="shared" si="8"/>
        <v>8</v>
      </c>
      <c r="O30" s="3">
        <f t="shared" si="9"/>
        <v>0.34156992811945203</v>
      </c>
      <c r="P30" s="3">
        <f t="shared" si="10"/>
        <v>0.34610395431518554</v>
      </c>
      <c r="Q30" s="3">
        <f t="shared" si="11"/>
        <v>0.34337257544199584</v>
      </c>
    </row>
    <row r="31" spans="1:17" x14ac:dyDescent="0.3">
      <c r="A31" t="s">
        <v>1</v>
      </c>
      <c r="B31" t="s">
        <v>42</v>
      </c>
      <c r="C31" t="s">
        <v>77</v>
      </c>
      <c r="D31" t="s">
        <v>78</v>
      </c>
      <c r="E31">
        <v>16</v>
      </c>
      <c r="F31" s="2">
        <v>2.8067640627569483</v>
      </c>
      <c r="G31" s="2">
        <v>2.8425048828124999</v>
      </c>
      <c r="H31" s="2">
        <v>2.8284823099772165</v>
      </c>
      <c r="I31" s="3">
        <f t="shared" si="0"/>
        <v>0.17542275392230927</v>
      </c>
      <c r="J31" s="3">
        <f t="shared" si="1"/>
        <v>0.17765655517578124</v>
      </c>
      <c r="K31" s="3">
        <f t="shared" si="2"/>
        <v>0.17678014437357603</v>
      </c>
      <c r="M31">
        <v>8</v>
      </c>
      <c r="N31">
        <f t="shared" si="8"/>
        <v>8</v>
      </c>
      <c r="O31" s="3">
        <f t="shared" si="9"/>
        <v>0.35084550784461854</v>
      </c>
      <c r="P31" s="3">
        <f t="shared" si="10"/>
        <v>0.35531311035156249</v>
      </c>
      <c r="Q31" s="3">
        <f t="shared" si="11"/>
        <v>0.35356028874715206</v>
      </c>
    </row>
    <row r="32" spans="1:17" x14ac:dyDescent="0.3">
      <c r="E32">
        <f>SUM(E16:E31)</f>
        <v>392</v>
      </c>
      <c r="F32" s="2">
        <f>SUM(F16:F31)</f>
        <v>114.20528831110488</v>
      </c>
      <c r="G32" s="2">
        <f>SUM(G16:G31)</f>
        <v>177.14428176879863</v>
      </c>
      <c r="H32" s="2">
        <f>SUM(H16:H31)</f>
        <v>134.69974544525127</v>
      </c>
      <c r="I32" s="3">
        <f>F32/E32</f>
        <v>0.29134002120179814</v>
      </c>
      <c r="J32" s="3">
        <f>G32/E32</f>
        <v>0.45189867798162919</v>
      </c>
      <c r="K32" s="3">
        <f>H32/E32</f>
        <v>0.34362179960523281</v>
      </c>
      <c r="M32" s="7">
        <f t="shared" ref="M32:N32" si="12">SUM(M16:M31)</f>
        <v>124</v>
      </c>
      <c r="N32">
        <f t="shared" si="12"/>
        <v>268</v>
      </c>
      <c r="O32" s="3">
        <f>F32/N32</f>
        <v>0.4261391354891973</v>
      </c>
      <c r="P32" s="3">
        <f t="shared" si="10"/>
        <v>0.66098612600298001</v>
      </c>
      <c r="Q32" s="3">
        <f t="shared" si="11"/>
        <v>0.50261099046735547</v>
      </c>
    </row>
    <row r="34" spans="13:13" x14ac:dyDescent="0.3">
      <c r="M34" s="4">
        <f>M13+M32</f>
        <v>212</v>
      </c>
    </row>
  </sheetData>
  <autoFilter ref="C1:J1"/>
  <conditionalFormatting sqref="J2:K12 J14:K31">
    <cfRule type="colorScale" priority="5">
      <colorScale>
        <cfvo type="min"/>
        <cfvo type="max"/>
        <color rgb="FFFCFCFF"/>
        <color rgb="FF63BE7B"/>
      </colorScale>
    </cfRule>
  </conditionalFormatting>
  <conditionalFormatting sqref="E2:E12 E14:E31">
    <cfRule type="colorScale" priority="4">
      <colorScale>
        <cfvo type="min"/>
        <cfvo type="max"/>
        <color rgb="FFFCFCFF"/>
        <color rgb="FF63BE7B"/>
      </colorScale>
    </cfRule>
  </conditionalFormatting>
  <conditionalFormatting sqref="I2:I12 I14:I31">
    <cfRule type="colorScale" priority="3">
      <colorScale>
        <cfvo type="min"/>
        <cfvo type="max"/>
        <color rgb="FFFCFCFF"/>
        <color rgb="FF63BE7B"/>
      </colorScale>
    </cfRule>
  </conditionalFormatting>
  <conditionalFormatting sqref="O2:Q12 O14:Q31">
    <cfRule type="colorScale" priority="2">
      <colorScale>
        <cfvo type="min"/>
        <cfvo type="max"/>
        <color rgb="FFFCFCFF"/>
        <color rgb="FF63BE7B"/>
      </colorScale>
    </cfRule>
  </conditionalFormatting>
  <conditionalFormatting sqref="N2:N12 N14:N3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selection activeCell="N36" sqref="N36"/>
    </sheetView>
  </sheetViews>
  <sheetFormatPr defaultRowHeight="14.4" x14ac:dyDescent="0.3"/>
  <cols>
    <col min="1" max="1" width="8.77734375" bestFit="1" customWidth="1"/>
    <col min="2" max="2" width="4.5546875" bestFit="1" customWidth="1"/>
    <col min="3" max="3" width="34.44140625" bestFit="1" customWidth="1"/>
    <col min="4" max="4" width="37.21875" bestFit="1" customWidth="1"/>
    <col min="5" max="5" width="4.88671875" bestFit="1" customWidth="1"/>
    <col min="6" max="6" width="8" bestFit="1" customWidth="1"/>
    <col min="7" max="7" width="14" bestFit="1" customWidth="1"/>
    <col min="8" max="8" width="11.77734375" bestFit="1" customWidth="1"/>
    <col min="9" max="10" width="11.77734375" customWidth="1"/>
    <col min="11" max="11" width="13.77734375" bestFit="1" customWidth="1"/>
    <col min="12" max="12" width="15.88671875" bestFit="1" customWidth="1"/>
    <col min="15" max="15" width="9.88671875" bestFit="1" customWidth="1"/>
    <col min="16" max="16" width="15.88671875" bestFit="1" customWidth="1"/>
    <col min="17" max="17" width="13.77734375" bestFit="1" customWidth="1"/>
  </cols>
  <sheetData>
    <row r="1" spans="1:17" x14ac:dyDescent="0.3">
      <c r="A1" t="s">
        <v>46</v>
      </c>
      <c r="B1" t="s">
        <v>45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80</v>
      </c>
      <c r="J1" t="s">
        <v>19</v>
      </c>
      <c r="K1" t="s">
        <v>18</v>
      </c>
      <c r="M1" t="s">
        <v>81</v>
      </c>
      <c r="N1" t="s">
        <v>82</v>
      </c>
      <c r="O1" t="s">
        <v>80</v>
      </c>
      <c r="P1" t="s">
        <v>19</v>
      </c>
      <c r="Q1" t="s">
        <v>18</v>
      </c>
    </row>
    <row r="2" spans="1:17" x14ac:dyDescent="0.3">
      <c r="A2" t="s">
        <v>0</v>
      </c>
      <c r="B2" t="s">
        <v>42</v>
      </c>
      <c r="C2" t="s">
        <v>87</v>
      </c>
      <c r="D2" t="s">
        <v>21</v>
      </c>
      <c r="E2">
        <v>4</v>
      </c>
      <c r="F2" s="2">
        <v>0.245</v>
      </c>
      <c r="G2" s="2">
        <v>0.29799999999999999</v>
      </c>
      <c r="H2" s="2">
        <v>0.26400000000000001</v>
      </c>
      <c r="I2" s="3">
        <f>F2/$E2</f>
        <v>6.1249999999999999E-2</v>
      </c>
      <c r="J2" s="3">
        <f>G2/$E2</f>
        <v>7.4499999999999997E-2</v>
      </c>
      <c r="K2" s="3">
        <f>H2/$E2</f>
        <v>6.6000000000000003E-2</v>
      </c>
      <c r="M2">
        <v>0</v>
      </c>
      <c r="N2">
        <f>E2-M2</f>
        <v>4</v>
      </c>
      <c r="O2" s="3">
        <f>F2/N2</f>
        <v>6.1249999999999999E-2</v>
      </c>
      <c r="P2" s="3">
        <f>G2/N2</f>
        <v>7.4499999999999997E-2</v>
      </c>
      <c r="Q2" s="3">
        <f>H2/N2</f>
        <v>6.6000000000000003E-2</v>
      </c>
    </row>
    <row r="3" spans="1:17" x14ac:dyDescent="0.3">
      <c r="A3" t="s">
        <v>0</v>
      </c>
      <c r="B3" t="s">
        <v>42</v>
      </c>
      <c r="C3" t="s">
        <v>88</v>
      </c>
      <c r="D3" t="s">
        <v>23</v>
      </c>
      <c r="E3">
        <v>4</v>
      </c>
      <c r="F3" s="2">
        <v>0.23899999999999999</v>
      </c>
      <c r="G3" s="2">
        <v>0.29399999999999998</v>
      </c>
      <c r="H3" s="2">
        <v>0.25900000000000001</v>
      </c>
      <c r="I3" s="3">
        <f t="shared" ref="I3:I12" si="0">F3/$E3</f>
        <v>5.9749999999999998E-2</v>
      </c>
      <c r="J3" s="3">
        <f t="shared" ref="J3:J12" si="1">G3/$E3</f>
        <v>7.3499999999999996E-2</v>
      </c>
      <c r="K3" s="3">
        <f t="shared" ref="K3:K12" si="2">H3/$E3</f>
        <v>6.4750000000000002E-2</v>
      </c>
      <c r="M3" s="5">
        <v>0</v>
      </c>
      <c r="N3">
        <f t="shared" ref="N3:N12" si="3">E3-M3</f>
        <v>4</v>
      </c>
      <c r="O3" s="3">
        <f t="shared" ref="O3:O12" si="4">F3/N3</f>
        <v>5.9749999999999998E-2</v>
      </c>
      <c r="P3" s="3">
        <f t="shared" ref="P3:P12" si="5">G3/N3</f>
        <v>7.3499999999999996E-2</v>
      </c>
      <c r="Q3" s="3">
        <f t="shared" ref="Q3:Q12" si="6">H3/N3</f>
        <v>6.4750000000000002E-2</v>
      </c>
    </row>
    <row r="4" spans="1:17" x14ac:dyDescent="0.3">
      <c r="A4" t="s">
        <v>0</v>
      </c>
      <c r="B4" t="s">
        <v>42</v>
      </c>
      <c r="C4" t="s">
        <v>89</v>
      </c>
      <c r="D4" t="s">
        <v>25</v>
      </c>
      <c r="E4">
        <v>4</v>
      </c>
      <c r="F4" s="2">
        <v>0.27400000000000002</v>
      </c>
      <c r="G4" s="2">
        <v>0.313</v>
      </c>
      <c r="H4" s="2">
        <v>0.28599999999999998</v>
      </c>
      <c r="I4" s="3">
        <f t="shared" si="0"/>
        <v>6.8500000000000005E-2</v>
      </c>
      <c r="J4" s="3">
        <f t="shared" si="1"/>
        <v>7.825E-2</v>
      </c>
      <c r="K4" s="3">
        <f t="shared" si="2"/>
        <v>7.1499999999999994E-2</v>
      </c>
      <c r="M4" s="5">
        <v>0</v>
      </c>
      <c r="N4">
        <f t="shared" si="3"/>
        <v>4</v>
      </c>
      <c r="O4" s="3">
        <f t="shared" si="4"/>
        <v>6.8500000000000005E-2</v>
      </c>
      <c r="P4" s="3">
        <f t="shared" si="5"/>
        <v>7.825E-2</v>
      </c>
      <c r="Q4" s="3">
        <f t="shared" si="6"/>
        <v>7.1499999999999994E-2</v>
      </c>
    </row>
    <row r="5" spans="1:17" x14ac:dyDescent="0.3">
      <c r="A5" t="s">
        <v>0</v>
      </c>
      <c r="B5" t="s">
        <v>44</v>
      </c>
      <c r="C5" t="s">
        <v>90</v>
      </c>
      <c r="D5" t="s">
        <v>27</v>
      </c>
      <c r="E5">
        <v>16</v>
      </c>
      <c r="F5" s="2">
        <v>6.3399999999999998E-2</v>
      </c>
      <c r="G5" s="2">
        <v>0.47899999999999998</v>
      </c>
      <c r="H5" s="2">
        <v>8.3400000000000002E-2</v>
      </c>
      <c r="I5" s="3">
        <f t="shared" si="0"/>
        <v>3.9624999999999999E-3</v>
      </c>
      <c r="J5" s="3">
        <f t="shared" si="1"/>
        <v>2.9937499999999999E-2</v>
      </c>
      <c r="K5" s="3">
        <f t="shared" si="2"/>
        <v>5.2125000000000001E-3</v>
      </c>
      <c r="M5" s="5">
        <v>0</v>
      </c>
      <c r="N5">
        <f t="shared" si="3"/>
        <v>16</v>
      </c>
      <c r="O5" s="3">
        <f t="shared" si="4"/>
        <v>3.9624999999999999E-3</v>
      </c>
      <c r="P5" s="3">
        <f t="shared" si="5"/>
        <v>2.9937499999999999E-2</v>
      </c>
      <c r="Q5" s="3">
        <f t="shared" si="6"/>
        <v>5.2125000000000001E-3</v>
      </c>
    </row>
    <row r="6" spans="1:17" x14ac:dyDescent="0.3">
      <c r="A6" t="s">
        <v>0</v>
      </c>
      <c r="B6" t="s">
        <v>44</v>
      </c>
      <c r="C6" t="s">
        <v>91</v>
      </c>
      <c r="D6" t="s">
        <v>29</v>
      </c>
      <c r="E6">
        <v>16</v>
      </c>
      <c r="F6" s="2">
        <v>0.113</v>
      </c>
      <c r="G6" s="2">
        <v>3.18</v>
      </c>
      <c r="H6" s="2">
        <v>0.124</v>
      </c>
      <c r="I6" s="3">
        <f t="shared" si="0"/>
        <v>7.0625000000000002E-3</v>
      </c>
      <c r="J6" s="3">
        <f t="shared" si="1"/>
        <v>0.19875000000000001</v>
      </c>
      <c r="K6" s="3">
        <f t="shared" si="2"/>
        <v>7.7499999999999999E-3</v>
      </c>
      <c r="M6" s="8">
        <v>8</v>
      </c>
      <c r="N6">
        <f t="shared" si="3"/>
        <v>8</v>
      </c>
      <c r="O6" s="3">
        <f t="shared" si="4"/>
        <v>1.4125E-2</v>
      </c>
      <c r="P6" s="3">
        <f t="shared" si="5"/>
        <v>0.39750000000000002</v>
      </c>
      <c r="Q6" s="3">
        <f t="shared" si="6"/>
        <v>1.55E-2</v>
      </c>
    </row>
    <row r="7" spans="1:17" x14ac:dyDescent="0.3">
      <c r="A7" t="s">
        <v>0</v>
      </c>
      <c r="B7" t="s">
        <v>44</v>
      </c>
      <c r="C7" t="s">
        <v>92</v>
      </c>
      <c r="D7" t="s">
        <v>31</v>
      </c>
      <c r="E7">
        <v>16</v>
      </c>
      <c r="F7" s="2">
        <v>8.7599999999999997E-2</v>
      </c>
      <c r="G7" s="2">
        <v>0.376</v>
      </c>
      <c r="H7" s="2">
        <v>0.108</v>
      </c>
      <c r="I7" s="3">
        <f t="shared" si="0"/>
        <v>5.4749999999999998E-3</v>
      </c>
      <c r="J7" s="3">
        <f t="shared" si="1"/>
        <v>2.35E-2</v>
      </c>
      <c r="K7" s="3">
        <f t="shared" si="2"/>
        <v>6.7499999999999999E-3</v>
      </c>
      <c r="M7" s="8">
        <v>8</v>
      </c>
      <c r="N7">
        <f t="shared" si="3"/>
        <v>8</v>
      </c>
      <c r="O7" s="3">
        <f t="shared" si="4"/>
        <v>1.095E-2</v>
      </c>
      <c r="P7" s="3">
        <f t="shared" si="5"/>
        <v>4.7E-2</v>
      </c>
      <c r="Q7" s="3">
        <f t="shared" si="6"/>
        <v>1.35E-2</v>
      </c>
    </row>
    <row r="8" spans="1:17" x14ac:dyDescent="0.3">
      <c r="A8" t="s">
        <v>0</v>
      </c>
      <c r="B8" t="s">
        <v>44</v>
      </c>
      <c r="C8" t="s">
        <v>93</v>
      </c>
      <c r="D8" t="s">
        <v>33</v>
      </c>
      <c r="E8">
        <v>16</v>
      </c>
      <c r="F8" s="2">
        <v>7.2800000000000004E-2</v>
      </c>
      <c r="G8" s="2">
        <v>0.36199999999999999</v>
      </c>
      <c r="H8" s="2">
        <v>9.0800000000000006E-2</v>
      </c>
      <c r="I8" s="3">
        <f t="shared" si="0"/>
        <v>4.5500000000000002E-3</v>
      </c>
      <c r="J8" s="3">
        <f t="shared" si="1"/>
        <v>2.2624999999999999E-2</v>
      </c>
      <c r="K8" s="3">
        <f t="shared" si="2"/>
        <v>5.6750000000000004E-3</v>
      </c>
      <c r="M8" s="8">
        <v>8</v>
      </c>
      <c r="N8">
        <f t="shared" si="3"/>
        <v>8</v>
      </c>
      <c r="O8" s="3">
        <f t="shared" si="4"/>
        <v>9.1000000000000004E-3</v>
      </c>
      <c r="P8" s="3">
        <f t="shared" si="5"/>
        <v>4.5249999999999999E-2</v>
      </c>
      <c r="Q8" s="3">
        <f t="shared" si="6"/>
        <v>1.1350000000000001E-2</v>
      </c>
    </row>
    <row r="9" spans="1:17" x14ac:dyDescent="0.3">
      <c r="A9" t="s">
        <v>0</v>
      </c>
      <c r="B9" t="s">
        <v>43</v>
      </c>
      <c r="C9" t="s">
        <v>94</v>
      </c>
      <c r="D9" t="s">
        <v>35</v>
      </c>
      <c r="E9">
        <v>8</v>
      </c>
      <c r="F9" s="2">
        <v>2.6200000000000001E-2</v>
      </c>
      <c r="G9" s="2">
        <v>0.30599999999999999</v>
      </c>
      <c r="H9" s="2">
        <v>3.5999999999999997E-2</v>
      </c>
      <c r="I9" s="3">
        <f t="shared" si="0"/>
        <v>3.2750000000000001E-3</v>
      </c>
      <c r="J9" s="3">
        <f t="shared" si="1"/>
        <v>3.8249999999999999E-2</v>
      </c>
      <c r="K9" s="3">
        <f t="shared" si="2"/>
        <v>4.4999999999999997E-3</v>
      </c>
      <c r="M9" s="5">
        <v>4</v>
      </c>
      <c r="N9">
        <f t="shared" si="3"/>
        <v>4</v>
      </c>
      <c r="O9" s="3">
        <f t="shared" si="4"/>
        <v>6.5500000000000003E-3</v>
      </c>
      <c r="P9" s="3">
        <f t="shared" si="5"/>
        <v>7.6499999999999999E-2</v>
      </c>
      <c r="Q9" s="3">
        <f t="shared" si="6"/>
        <v>8.9999999999999993E-3</v>
      </c>
    </row>
    <row r="10" spans="1:17" x14ac:dyDescent="0.3">
      <c r="A10" t="s">
        <v>0</v>
      </c>
      <c r="B10" t="s">
        <v>42</v>
      </c>
      <c r="C10" t="s">
        <v>95</v>
      </c>
      <c r="D10" t="s">
        <v>37</v>
      </c>
      <c r="E10">
        <v>8</v>
      </c>
      <c r="F10" s="2">
        <v>0.34499999999999997</v>
      </c>
      <c r="G10" s="2">
        <v>0.39200000000000002</v>
      </c>
      <c r="H10" s="2">
        <v>0.36</v>
      </c>
      <c r="I10" s="3">
        <f t="shared" si="0"/>
        <v>4.3124999999999997E-2</v>
      </c>
      <c r="J10" s="3">
        <f t="shared" si="1"/>
        <v>4.9000000000000002E-2</v>
      </c>
      <c r="K10" s="3">
        <f t="shared" si="2"/>
        <v>4.4999999999999998E-2</v>
      </c>
      <c r="M10" s="5">
        <v>4</v>
      </c>
      <c r="N10">
        <f t="shared" si="3"/>
        <v>4</v>
      </c>
      <c r="O10" s="3">
        <f t="shared" si="4"/>
        <v>8.6249999999999993E-2</v>
      </c>
      <c r="P10" s="3">
        <f t="shared" si="5"/>
        <v>9.8000000000000004E-2</v>
      </c>
      <c r="Q10" s="3">
        <f t="shared" si="6"/>
        <v>0.09</v>
      </c>
    </row>
    <row r="11" spans="1:17" x14ac:dyDescent="0.3">
      <c r="A11" t="s">
        <v>0</v>
      </c>
      <c r="B11" t="s">
        <v>42</v>
      </c>
      <c r="C11" t="s">
        <v>96</v>
      </c>
      <c r="D11" t="s">
        <v>39</v>
      </c>
      <c r="E11">
        <v>8</v>
      </c>
      <c r="F11" s="2">
        <v>0.61599999999999999</v>
      </c>
      <c r="G11" s="2">
        <v>0.67</v>
      </c>
      <c r="H11" s="2">
        <v>0.64200000000000002</v>
      </c>
      <c r="I11" s="3">
        <f t="shared" si="0"/>
        <v>7.6999999999999999E-2</v>
      </c>
      <c r="J11" s="3">
        <f t="shared" si="1"/>
        <v>8.3750000000000005E-2</v>
      </c>
      <c r="K11" s="3">
        <f t="shared" si="2"/>
        <v>8.0250000000000002E-2</v>
      </c>
      <c r="M11" s="5">
        <v>4</v>
      </c>
      <c r="N11">
        <f t="shared" si="3"/>
        <v>4</v>
      </c>
      <c r="O11" s="3">
        <f t="shared" si="4"/>
        <v>0.154</v>
      </c>
      <c r="P11" s="3">
        <f t="shared" si="5"/>
        <v>0.16750000000000001</v>
      </c>
      <c r="Q11" s="3">
        <f t="shared" si="6"/>
        <v>0.1605</v>
      </c>
    </row>
    <row r="12" spans="1:17" x14ac:dyDescent="0.3">
      <c r="A12" t="s">
        <v>0</v>
      </c>
      <c r="B12" t="s">
        <v>42</v>
      </c>
      <c r="C12" t="s">
        <v>97</v>
      </c>
      <c r="D12" t="s">
        <v>41</v>
      </c>
      <c r="E12">
        <v>8</v>
      </c>
      <c r="F12" s="2">
        <v>0.499</v>
      </c>
      <c r="G12" s="2">
        <v>0.54200000000000004</v>
      </c>
      <c r="H12" s="2">
        <v>0.51400000000000001</v>
      </c>
      <c r="I12" s="3">
        <f t="shared" si="0"/>
        <v>6.2375E-2</v>
      </c>
      <c r="J12" s="3">
        <f t="shared" si="1"/>
        <v>6.7750000000000005E-2</v>
      </c>
      <c r="K12" s="3">
        <f t="shared" si="2"/>
        <v>6.4250000000000002E-2</v>
      </c>
      <c r="M12" s="5">
        <v>4</v>
      </c>
      <c r="N12">
        <f t="shared" si="3"/>
        <v>4</v>
      </c>
      <c r="O12" s="3">
        <f t="shared" si="4"/>
        <v>0.12475</v>
      </c>
      <c r="P12" s="3">
        <f t="shared" si="5"/>
        <v>0.13550000000000001</v>
      </c>
      <c r="Q12" s="3">
        <f t="shared" si="6"/>
        <v>0.1285</v>
      </c>
    </row>
    <row r="16" spans="1:17" x14ac:dyDescent="0.3">
      <c r="A16" t="s">
        <v>1</v>
      </c>
      <c r="B16" t="s">
        <v>42</v>
      </c>
      <c r="C16" t="s">
        <v>98</v>
      </c>
      <c r="D16" t="s">
        <v>48</v>
      </c>
      <c r="E16">
        <v>4</v>
      </c>
      <c r="F16" s="2">
        <v>0.25700000000000001</v>
      </c>
      <c r="G16" s="2">
        <v>0.32500000000000001</v>
      </c>
      <c r="H16" s="2">
        <v>0.28100000000000003</v>
      </c>
      <c r="I16" s="3">
        <f>F16/$E16</f>
        <v>6.4250000000000002E-2</v>
      </c>
      <c r="J16" s="6">
        <f>G16/$E16</f>
        <v>8.1250000000000003E-2</v>
      </c>
      <c r="K16" s="6">
        <f>H16/$E16</f>
        <v>7.0250000000000007E-2</v>
      </c>
      <c r="M16">
        <v>0</v>
      </c>
      <c r="N16">
        <f t="shared" ref="N16:N31" si="7">E16-M16</f>
        <v>4</v>
      </c>
      <c r="O16" s="3">
        <f>F16/N16</f>
        <v>6.4250000000000002E-2</v>
      </c>
      <c r="P16" s="3">
        <f>G16/N16</f>
        <v>8.1250000000000003E-2</v>
      </c>
      <c r="Q16" s="3">
        <f>H16/N16</f>
        <v>7.0250000000000007E-2</v>
      </c>
    </row>
    <row r="17" spans="1:17" x14ac:dyDescent="0.3">
      <c r="A17" t="s">
        <v>1</v>
      </c>
      <c r="B17" t="s">
        <v>42</v>
      </c>
      <c r="C17" t="s">
        <v>99</v>
      </c>
      <c r="D17" t="s">
        <v>50</v>
      </c>
      <c r="E17">
        <v>4</v>
      </c>
      <c r="F17" s="2">
        <v>0.247</v>
      </c>
      <c r="G17" s="2">
        <v>0.30499999999999999</v>
      </c>
      <c r="H17" s="2">
        <v>0.26800000000000002</v>
      </c>
      <c r="I17" s="3">
        <f t="shared" ref="I17:I31" si="8">F17/$E17</f>
        <v>6.1749999999999999E-2</v>
      </c>
      <c r="J17" s="6">
        <f t="shared" ref="J17:J31" si="9">G17/$E17</f>
        <v>7.6249999999999998E-2</v>
      </c>
      <c r="K17" s="6">
        <f t="shared" ref="K17:K31" si="10">H17/$E17</f>
        <v>6.7000000000000004E-2</v>
      </c>
      <c r="M17">
        <v>0</v>
      </c>
      <c r="N17">
        <f t="shared" si="7"/>
        <v>4</v>
      </c>
      <c r="O17" s="3">
        <f t="shared" ref="O17:O31" si="11">F17/N17</f>
        <v>6.1749999999999999E-2</v>
      </c>
      <c r="P17" s="3">
        <f t="shared" ref="P17:P31" si="12">G17/N17</f>
        <v>7.6249999999999998E-2</v>
      </c>
      <c r="Q17" s="3">
        <f t="shared" ref="Q17:Q31" si="13">H17/N17</f>
        <v>6.7000000000000004E-2</v>
      </c>
    </row>
    <row r="18" spans="1:17" x14ac:dyDescent="0.3">
      <c r="A18" t="s">
        <v>1</v>
      </c>
      <c r="B18" t="s">
        <v>42</v>
      </c>
      <c r="C18" t="s">
        <v>100</v>
      </c>
      <c r="D18" t="s">
        <v>52</v>
      </c>
      <c r="E18">
        <v>4</v>
      </c>
      <c r="F18" s="2">
        <v>0.24299999999999999</v>
      </c>
      <c r="G18" s="2">
        <v>0.28199999999999997</v>
      </c>
      <c r="H18" s="2">
        <v>0.255</v>
      </c>
      <c r="I18" s="3">
        <f t="shared" si="8"/>
        <v>6.0749999999999998E-2</v>
      </c>
      <c r="J18" s="6">
        <f t="shared" si="9"/>
        <v>7.0499999999999993E-2</v>
      </c>
      <c r="K18" s="6">
        <f t="shared" si="10"/>
        <v>6.3750000000000001E-2</v>
      </c>
      <c r="M18">
        <v>0</v>
      </c>
      <c r="N18">
        <f t="shared" si="7"/>
        <v>4</v>
      </c>
      <c r="O18" s="3">
        <f t="shared" si="11"/>
        <v>6.0749999999999998E-2</v>
      </c>
      <c r="P18" s="3">
        <f t="shared" si="12"/>
        <v>7.0499999999999993E-2</v>
      </c>
      <c r="Q18" s="3">
        <f t="shared" si="13"/>
        <v>6.3750000000000001E-2</v>
      </c>
    </row>
    <row r="19" spans="1:17" x14ac:dyDescent="0.3">
      <c r="A19" t="s">
        <v>1</v>
      </c>
      <c r="B19" t="s">
        <v>79</v>
      </c>
      <c r="C19" t="s">
        <v>101</v>
      </c>
      <c r="D19" t="s">
        <v>54</v>
      </c>
      <c r="E19">
        <v>4</v>
      </c>
      <c r="F19" s="2">
        <v>1.57</v>
      </c>
      <c r="G19" s="2">
        <v>3.15</v>
      </c>
      <c r="H19" s="2">
        <v>1.84</v>
      </c>
      <c r="I19" s="3">
        <f t="shared" si="8"/>
        <v>0.39250000000000002</v>
      </c>
      <c r="J19" s="6">
        <f t="shared" si="9"/>
        <v>0.78749999999999998</v>
      </c>
      <c r="K19" s="6">
        <f t="shared" si="10"/>
        <v>0.46</v>
      </c>
      <c r="M19">
        <v>0</v>
      </c>
      <c r="N19">
        <f t="shared" si="7"/>
        <v>4</v>
      </c>
      <c r="O19" s="3">
        <f t="shared" si="11"/>
        <v>0.39250000000000002</v>
      </c>
      <c r="P19" s="3">
        <f t="shared" si="12"/>
        <v>0.78749999999999998</v>
      </c>
      <c r="Q19" s="3">
        <f t="shared" si="13"/>
        <v>0.46</v>
      </c>
    </row>
    <row r="20" spans="1:17" x14ac:dyDescent="0.3">
      <c r="A20" t="s">
        <v>1</v>
      </c>
      <c r="B20" t="s">
        <v>79</v>
      </c>
      <c r="C20" t="s">
        <v>102</v>
      </c>
      <c r="D20" t="s">
        <v>56</v>
      </c>
      <c r="E20">
        <v>4</v>
      </c>
      <c r="F20" s="2">
        <v>1.62</v>
      </c>
      <c r="G20" s="2">
        <v>3.87</v>
      </c>
      <c r="H20" s="2">
        <v>2.76</v>
      </c>
      <c r="I20" s="3">
        <f t="shared" si="8"/>
        <v>0.40500000000000003</v>
      </c>
      <c r="J20" s="6">
        <f t="shared" si="9"/>
        <v>0.96750000000000003</v>
      </c>
      <c r="K20" s="6">
        <f t="shared" si="10"/>
        <v>0.69</v>
      </c>
      <c r="M20">
        <v>0</v>
      </c>
      <c r="N20">
        <f t="shared" si="7"/>
        <v>4</v>
      </c>
      <c r="O20" s="3">
        <f t="shared" si="11"/>
        <v>0.40500000000000003</v>
      </c>
      <c r="P20" s="3">
        <f t="shared" si="12"/>
        <v>0.96750000000000003</v>
      </c>
      <c r="Q20" s="3">
        <f t="shared" si="13"/>
        <v>0.69</v>
      </c>
    </row>
    <row r="21" spans="1:17" x14ac:dyDescent="0.3">
      <c r="A21" t="s">
        <v>1</v>
      </c>
      <c r="B21" t="s">
        <v>44</v>
      </c>
      <c r="C21" t="s">
        <v>103</v>
      </c>
      <c r="D21" t="s">
        <v>58</v>
      </c>
      <c r="E21">
        <v>16</v>
      </c>
      <c r="F21" s="2">
        <v>5.8999999999999997E-2</v>
      </c>
      <c r="G21" s="2">
        <v>0.34300000000000003</v>
      </c>
      <c r="H21" s="2">
        <v>7.8899999999999998E-2</v>
      </c>
      <c r="I21" s="3">
        <f t="shared" si="8"/>
        <v>3.6874999999999998E-3</v>
      </c>
      <c r="J21" s="6">
        <f t="shared" si="9"/>
        <v>2.1437500000000002E-2</v>
      </c>
      <c r="K21" s="6">
        <f t="shared" si="10"/>
        <v>4.9312499999999999E-3</v>
      </c>
      <c r="M21">
        <v>0</v>
      </c>
      <c r="N21">
        <f t="shared" si="7"/>
        <v>16</v>
      </c>
      <c r="O21" s="3">
        <f t="shared" si="11"/>
        <v>3.6874999999999998E-3</v>
      </c>
      <c r="P21" s="3">
        <f t="shared" si="12"/>
        <v>2.1437500000000002E-2</v>
      </c>
      <c r="Q21" s="3">
        <f t="shared" si="13"/>
        <v>4.9312499999999999E-3</v>
      </c>
    </row>
    <row r="22" spans="1:17" x14ac:dyDescent="0.3">
      <c r="A22" t="s">
        <v>1</v>
      </c>
      <c r="B22" t="s">
        <v>44</v>
      </c>
      <c r="C22" t="s">
        <v>104</v>
      </c>
      <c r="D22" t="s">
        <v>60</v>
      </c>
      <c r="E22">
        <v>16</v>
      </c>
      <c r="F22" s="2">
        <v>0.112</v>
      </c>
      <c r="G22" s="2">
        <v>3.31</v>
      </c>
      <c r="H22" s="2">
        <v>0.122</v>
      </c>
      <c r="I22" s="3">
        <f t="shared" si="8"/>
        <v>7.0000000000000001E-3</v>
      </c>
      <c r="J22" s="6">
        <f t="shared" si="9"/>
        <v>0.206875</v>
      </c>
      <c r="K22" s="6">
        <f t="shared" si="10"/>
        <v>7.6249999999999998E-3</v>
      </c>
      <c r="M22" s="4">
        <v>8</v>
      </c>
      <c r="N22">
        <f t="shared" si="7"/>
        <v>8</v>
      </c>
      <c r="O22" s="3">
        <f t="shared" si="11"/>
        <v>1.4E-2</v>
      </c>
      <c r="P22" s="3">
        <f t="shared" si="12"/>
        <v>0.41375000000000001</v>
      </c>
      <c r="Q22" s="3">
        <f t="shared" si="13"/>
        <v>1.525E-2</v>
      </c>
    </row>
    <row r="23" spans="1:17" x14ac:dyDescent="0.3">
      <c r="A23" t="s">
        <v>1</v>
      </c>
      <c r="B23" t="s">
        <v>44</v>
      </c>
      <c r="C23" t="s">
        <v>105</v>
      </c>
      <c r="D23" t="s">
        <v>62</v>
      </c>
      <c r="E23">
        <v>16</v>
      </c>
      <c r="F23" s="2">
        <v>9.2899999999999996E-2</v>
      </c>
      <c r="G23" s="2">
        <v>0.46400000000000002</v>
      </c>
      <c r="H23" s="2">
        <v>0.113</v>
      </c>
      <c r="I23" s="3">
        <f t="shared" si="8"/>
        <v>5.8062499999999998E-3</v>
      </c>
      <c r="J23" s="6">
        <f t="shared" si="9"/>
        <v>2.9000000000000001E-2</v>
      </c>
      <c r="K23" s="6">
        <f t="shared" si="10"/>
        <v>7.0625000000000002E-3</v>
      </c>
      <c r="M23">
        <v>8</v>
      </c>
      <c r="N23">
        <f t="shared" si="7"/>
        <v>8</v>
      </c>
      <c r="O23" s="3">
        <f t="shared" si="11"/>
        <v>1.16125E-2</v>
      </c>
      <c r="P23" s="3">
        <f t="shared" si="12"/>
        <v>5.8000000000000003E-2</v>
      </c>
      <c r="Q23" s="3">
        <f t="shared" si="13"/>
        <v>1.4125E-2</v>
      </c>
    </row>
    <row r="24" spans="1:17" x14ac:dyDescent="0.3">
      <c r="A24" t="s">
        <v>1</v>
      </c>
      <c r="B24" t="s">
        <v>44</v>
      </c>
      <c r="C24" t="s">
        <v>106</v>
      </c>
      <c r="D24" t="s">
        <v>64</v>
      </c>
      <c r="E24">
        <v>16</v>
      </c>
      <c r="F24" s="2">
        <v>6.6500000000000004E-2</v>
      </c>
      <c r="G24" s="2">
        <v>1.23</v>
      </c>
      <c r="H24" s="2">
        <v>8.2600000000000007E-2</v>
      </c>
      <c r="I24" s="3">
        <f t="shared" si="8"/>
        <v>4.1562500000000002E-3</v>
      </c>
      <c r="J24" s="6">
        <f t="shared" si="9"/>
        <v>7.6874999999999999E-2</v>
      </c>
      <c r="K24" s="6">
        <f t="shared" si="10"/>
        <v>5.1625000000000004E-3</v>
      </c>
      <c r="M24">
        <v>8</v>
      </c>
      <c r="N24">
        <f t="shared" si="7"/>
        <v>8</v>
      </c>
      <c r="O24" s="3">
        <f t="shared" si="11"/>
        <v>8.3125000000000004E-3</v>
      </c>
      <c r="P24" s="3">
        <f t="shared" si="12"/>
        <v>0.15375</v>
      </c>
      <c r="Q24" s="3">
        <f t="shared" si="13"/>
        <v>1.0325000000000001E-2</v>
      </c>
    </row>
    <row r="25" spans="1:17" x14ac:dyDescent="0.3">
      <c r="A25" t="s">
        <v>1</v>
      </c>
      <c r="B25" t="s">
        <v>43</v>
      </c>
      <c r="C25" t="s">
        <v>107</v>
      </c>
      <c r="D25" t="s">
        <v>66</v>
      </c>
      <c r="E25">
        <v>4</v>
      </c>
      <c r="F25" s="2">
        <v>2.6100000000000002E-2</v>
      </c>
      <c r="G25" s="2">
        <v>0.3</v>
      </c>
      <c r="H25" s="2">
        <v>3.4000000000000002E-2</v>
      </c>
      <c r="I25" s="3">
        <f t="shared" si="8"/>
        <v>6.5250000000000004E-3</v>
      </c>
      <c r="J25" s="6">
        <f t="shared" si="9"/>
        <v>7.4999999999999997E-2</v>
      </c>
      <c r="K25" s="6">
        <f t="shared" si="10"/>
        <v>8.5000000000000006E-3</v>
      </c>
      <c r="M25">
        <v>0</v>
      </c>
      <c r="N25">
        <f t="shared" si="7"/>
        <v>4</v>
      </c>
      <c r="O25" s="3">
        <f t="shared" si="11"/>
        <v>6.5250000000000004E-3</v>
      </c>
      <c r="P25" s="3">
        <f t="shared" si="12"/>
        <v>7.4999999999999997E-2</v>
      </c>
      <c r="Q25" s="3">
        <f t="shared" si="13"/>
        <v>8.5000000000000006E-3</v>
      </c>
    </row>
    <row r="26" spans="1:17" x14ac:dyDescent="0.3">
      <c r="A26" t="s">
        <v>1</v>
      </c>
      <c r="B26" t="s">
        <v>43</v>
      </c>
      <c r="C26" t="s">
        <v>108</v>
      </c>
      <c r="D26" t="s">
        <v>68</v>
      </c>
      <c r="E26">
        <v>4</v>
      </c>
      <c r="F26" s="2">
        <v>2.76E-2</v>
      </c>
      <c r="G26" s="2">
        <v>0.28399999999999997</v>
      </c>
      <c r="H26" s="2">
        <v>3.6299999999999999E-2</v>
      </c>
      <c r="I26" s="3">
        <f t="shared" si="8"/>
        <v>6.8999999999999999E-3</v>
      </c>
      <c r="J26" s="6">
        <f t="shared" si="9"/>
        <v>7.0999999999999994E-2</v>
      </c>
      <c r="K26" s="6">
        <f t="shared" si="10"/>
        <v>9.0749999999999997E-3</v>
      </c>
      <c r="M26">
        <v>0</v>
      </c>
      <c r="N26">
        <f t="shared" si="7"/>
        <v>4</v>
      </c>
      <c r="O26" s="3">
        <f t="shared" si="11"/>
        <v>6.8999999999999999E-3</v>
      </c>
      <c r="P26" s="3">
        <f t="shared" si="12"/>
        <v>7.0999999999999994E-2</v>
      </c>
      <c r="Q26" s="3">
        <f t="shared" si="13"/>
        <v>9.0749999999999997E-3</v>
      </c>
    </row>
    <row r="27" spans="1:17" x14ac:dyDescent="0.3">
      <c r="A27" t="s">
        <v>1</v>
      </c>
      <c r="B27" t="s">
        <v>42</v>
      </c>
      <c r="C27" t="s">
        <v>109</v>
      </c>
      <c r="D27" t="s">
        <v>70</v>
      </c>
      <c r="E27">
        <v>8</v>
      </c>
      <c r="F27" s="2">
        <v>0.155</v>
      </c>
      <c r="G27" s="2">
        <v>0.19600000000000001</v>
      </c>
      <c r="H27" s="2">
        <v>0.16600000000000001</v>
      </c>
      <c r="I27" s="3">
        <f t="shared" si="8"/>
        <v>1.9375E-2</v>
      </c>
      <c r="J27" s="6">
        <f t="shared" si="9"/>
        <v>2.4500000000000001E-2</v>
      </c>
      <c r="K27" s="6">
        <f t="shared" si="10"/>
        <v>2.0750000000000001E-2</v>
      </c>
      <c r="M27">
        <v>4</v>
      </c>
      <c r="N27">
        <f t="shared" si="7"/>
        <v>4</v>
      </c>
      <c r="O27" s="3">
        <f t="shared" si="11"/>
        <v>3.875E-2</v>
      </c>
      <c r="P27" s="3">
        <f t="shared" si="12"/>
        <v>4.9000000000000002E-2</v>
      </c>
      <c r="Q27" s="3">
        <f t="shared" si="13"/>
        <v>4.1500000000000002E-2</v>
      </c>
    </row>
    <row r="28" spans="1:17" x14ac:dyDescent="0.3">
      <c r="A28" t="s">
        <v>1</v>
      </c>
      <c r="B28" t="s">
        <v>42</v>
      </c>
      <c r="C28" t="s">
        <v>110</v>
      </c>
      <c r="D28" t="s">
        <v>72</v>
      </c>
      <c r="E28">
        <v>8</v>
      </c>
      <c r="F28" s="2">
        <v>0.112</v>
      </c>
      <c r="G28" s="2">
        <v>0.151</v>
      </c>
      <c r="H28" s="2">
        <v>0.123</v>
      </c>
      <c r="I28" s="3">
        <f t="shared" si="8"/>
        <v>1.4E-2</v>
      </c>
      <c r="J28" s="6">
        <f t="shared" si="9"/>
        <v>1.8874999999999999E-2</v>
      </c>
      <c r="K28" s="6">
        <f t="shared" si="10"/>
        <v>1.5375E-2</v>
      </c>
      <c r="M28">
        <v>4</v>
      </c>
      <c r="N28">
        <f t="shared" si="7"/>
        <v>4</v>
      </c>
      <c r="O28" s="3">
        <f t="shared" si="11"/>
        <v>2.8000000000000001E-2</v>
      </c>
      <c r="P28" s="3">
        <f t="shared" si="12"/>
        <v>3.7749999999999999E-2</v>
      </c>
      <c r="Q28" s="3">
        <f t="shared" si="13"/>
        <v>3.075E-2</v>
      </c>
    </row>
    <row r="29" spans="1:17" x14ac:dyDescent="0.3">
      <c r="A29" t="s">
        <v>1</v>
      </c>
      <c r="B29" t="s">
        <v>42</v>
      </c>
      <c r="C29" t="s">
        <v>111</v>
      </c>
      <c r="D29" t="s">
        <v>74</v>
      </c>
      <c r="E29">
        <v>8</v>
      </c>
      <c r="F29" s="2">
        <v>0.127</v>
      </c>
      <c r="G29" s="2">
        <v>0.188</v>
      </c>
      <c r="H29" s="2">
        <v>0.15</v>
      </c>
      <c r="I29" s="3">
        <f t="shared" si="8"/>
        <v>1.5875E-2</v>
      </c>
      <c r="J29" s="6">
        <f t="shared" si="9"/>
        <v>2.35E-2</v>
      </c>
      <c r="K29" s="6">
        <f t="shared" si="10"/>
        <v>1.8749999999999999E-2</v>
      </c>
      <c r="M29">
        <v>4</v>
      </c>
      <c r="N29">
        <f t="shared" si="7"/>
        <v>4</v>
      </c>
      <c r="O29" s="3">
        <f t="shared" si="11"/>
        <v>3.175E-2</v>
      </c>
      <c r="P29" s="3">
        <f t="shared" si="12"/>
        <v>4.7E-2</v>
      </c>
      <c r="Q29" s="3">
        <f t="shared" si="13"/>
        <v>3.7499999999999999E-2</v>
      </c>
    </row>
    <row r="30" spans="1:17" x14ac:dyDescent="0.3">
      <c r="A30" t="s">
        <v>1</v>
      </c>
      <c r="B30" t="s">
        <v>42</v>
      </c>
      <c r="C30" t="s">
        <v>112</v>
      </c>
      <c r="D30" t="s">
        <v>76</v>
      </c>
      <c r="E30">
        <v>8</v>
      </c>
      <c r="F30" s="2">
        <v>0.13600000000000001</v>
      </c>
      <c r="G30" s="2">
        <v>0.17699999999999999</v>
      </c>
      <c r="H30" s="2">
        <v>0.14799999999999999</v>
      </c>
      <c r="I30" s="3">
        <f t="shared" si="8"/>
        <v>1.7000000000000001E-2</v>
      </c>
      <c r="J30" s="6">
        <f t="shared" si="9"/>
        <v>2.2124999999999999E-2</v>
      </c>
      <c r="K30" s="6">
        <f t="shared" si="10"/>
        <v>1.8499999999999999E-2</v>
      </c>
      <c r="M30">
        <v>4</v>
      </c>
      <c r="N30">
        <f t="shared" si="7"/>
        <v>4</v>
      </c>
      <c r="O30" s="3">
        <f t="shared" si="11"/>
        <v>3.4000000000000002E-2</v>
      </c>
      <c r="P30" s="3">
        <f t="shared" si="12"/>
        <v>4.4249999999999998E-2</v>
      </c>
      <c r="Q30" s="3">
        <f t="shared" si="13"/>
        <v>3.6999999999999998E-2</v>
      </c>
    </row>
    <row r="31" spans="1:17" x14ac:dyDescent="0.3">
      <c r="A31" t="s">
        <v>1</v>
      </c>
      <c r="B31" t="s">
        <v>42</v>
      </c>
      <c r="C31" t="s">
        <v>113</v>
      </c>
      <c r="D31" t="s">
        <v>78</v>
      </c>
      <c r="E31">
        <v>8</v>
      </c>
      <c r="F31" s="2">
        <v>0.13900000000000001</v>
      </c>
      <c r="G31" s="2">
        <v>0.18</v>
      </c>
      <c r="H31" s="2">
        <v>0.152</v>
      </c>
      <c r="I31" s="3">
        <f t="shared" si="8"/>
        <v>1.7375000000000002E-2</v>
      </c>
      <c r="J31" s="6">
        <f t="shared" si="9"/>
        <v>2.2499999999999999E-2</v>
      </c>
      <c r="K31" s="6">
        <f t="shared" si="10"/>
        <v>1.9E-2</v>
      </c>
      <c r="M31">
        <v>4</v>
      </c>
      <c r="N31">
        <f t="shared" si="7"/>
        <v>4</v>
      </c>
      <c r="O31" s="3">
        <f t="shared" si="11"/>
        <v>3.4750000000000003E-2</v>
      </c>
      <c r="P31" s="3">
        <f t="shared" si="12"/>
        <v>4.4999999999999998E-2</v>
      </c>
      <c r="Q31" s="3">
        <f t="shared" si="13"/>
        <v>3.7999999999999999E-2</v>
      </c>
    </row>
    <row r="32" spans="1:17" x14ac:dyDescent="0.3">
      <c r="O32" s="3"/>
      <c r="P32" s="3"/>
      <c r="Q32" s="3"/>
    </row>
  </sheetData>
  <conditionalFormatting sqref="I2:K12">
    <cfRule type="colorScale" priority="8">
      <colorScale>
        <cfvo type="min"/>
        <cfvo type="max"/>
        <color rgb="FFFCFCFF"/>
        <color rgb="FF63BE7B"/>
      </colorScale>
    </cfRule>
  </conditionalFormatting>
  <conditionalFormatting sqref="E2:E12">
    <cfRule type="colorScale" priority="7">
      <colorScale>
        <cfvo type="min"/>
        <cfvo type="max"/>
        <color rgb="FFFCFCFF"/>
        <color rgb="FF63BE7B"/>
      </colorScale>
    </cfRule>
  </conditionalFormatting>
  <conditionalFormatting sqref="N2:N12">
    <cfRule type="colorScale" priority="6">
      <colorScale>
        <cfvo type="min"/>
        <cfvo type="max"/>
        <color rgb="FFFCFCFF"/>
        <color rgb="FF63BE7B"/>
      </colorScale>
    </cfRule>
  </conditionalFormatting>
  <conditionalFormatting sqref="O2:Q12">
    <cfRule type="colorScale" priority="5">
      <colorScale>
        <cfvo type="min"/>
        <cfvo type="max"/>
        <color rgb="FFFCFCFF"/>
        <color rgb="FF63BE7B"/>
      </colorScale>
    </cfRule>
  </conditionalFormatting>
  <conditionalFormatting sqref="N16:N31">
    <cfRule type="colorScale" priority="4">
      <colorScale>
        <cfvo type="min"/>
        <cfvo type="max"/>
        <color rgb="FFFCFCFF"/>
        <color rgb="FF63BE7B"/>
      </colorScale>
    </cfRule>
  </conditionalFormatting>
  <conditionalFormatting sqref="I16:K31">
    <cfRule type="colorScale" priority="3">
      <colorScale>
        <cfvo type="min"/>
        <cfvo type="max"/>
        <color rgb="FFFCFCFF"/>
        <color rgb="FF63BE7B"/>
      </colorScale>
    </cfRule>
  </conditionalFormatting>
  <conditionalFormatting sqref="E16:E31">
    <cfRule type="colorScale" priority="2">
      <colorScale>
        <cfvo type="min"/>
        <cfvo type="max"/>
        <color rgb="FFFCFCFF"/>
        <color rgb="FF63BE7B"/>
      </colorScale>
    </cfRule>
  </conditionalFormatting>
  <conditionalFormatting sqref="O16:Q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H10" sqref="H10"/>
    </sheetView>
  </sheetViews>
  <sheetFormatPr defaultRowHeight="14.4" x14ac:dyDescent="0.3"/>
  <cols>
    <col min="1" max="1" width="7" bestFit="1" customWidth="1"/>
    <col min="2" max="2" width="9.21875" bestFit="1" customWidth="1"/>
    <col min="3" max="3" width="13.77734375" bestFit="1" customWidth="1"/>
    <col min="4" max="4" width="12.21875" bestFit="1" customWidth="1"/>
  </cols>
  <sheetData>
    <row r="1" spans="1:4" x14ac:dyDescent="0.3">
      <c r="A1" t="s">
        <v>45</v>
      </c>
      <c r="B1" t="s">
        <v>84</v>
      </c>
      <c r="C1" t="s">
        <v>85</v>
      </c>
      <c r="D1" t="s">
        <v>86</v>
      </c>
    </row>
    <row r="2" spans="1:4" x14ac:dyDescent="0.3">
      <c r="A2" t="s">
        <v>42</v>
      </c>
      <c r="B2">
        <v>5</v>
      </c>
      <c r="C2">
        <v>8</v>
      </c>
      <c r="D2">
        <f>B2*C2</f>
        <v>40</v>
      </c>
    </row>
    <row r="3" spans="1:4" x14ac:dyDescent="0.3">
      <c r="A3" t="s">
        <v>83</v>
      </c>
      <c r="B3">
        <v>1</v>
      </c>
      <c r="C3">
        <v>32</v>
      </c>
      <c r="D3">
        <f t="shared" ref="D3:D4" si="0">B3*C3</f>
        <v>32</v>
      </c>
    </row>
    <row r="4" spans="1:4" x14ac:dyDescent="0.3">
      <c r="A4" t="s">
        <v>79</v>
      </c>
      <c r="B4">
        <v>1</v>
      </c>
      <c r="C4">
        <v>64</v>
      </c>
      <c r="D4">
        <f t="shared" si="0"/>
        <v>64</v>
      </c>
    </row>
    <row r="6" spans="1:4" x14ac:dyDescent="0.3">
      <c r="D6" s="4">
        <f>SUM(D2:D4)</f>
        <v>136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Текущие пространства</vt:lpstr>
      <vt:lpstr>RAM</vt:lpstr>
      <vt:lpstr>CPU</vt:lpstr>
      <vt:lpstr>DEV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2026-03-18T08:31:47Z</dcterms:modified>
</cp:coreProperties>
</file>